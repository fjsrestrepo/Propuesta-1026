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esarrollo\Okan 1026\"/>
    </mc:Choice>
  </mc:AlternateContent>
  <xr:revisionPtr revIDLastSave="0" documentId="13_ncr:1_{0B314068-C719-49FF-8BE3-12A489463E03}" xr6:coauthVersionLast="47" xr6:coauthVersionMax="47" xr10:uidLastSave="{00000000-0000-0000-0000-000000000000}"/>
  <bookViews>
    <workbookView xWindow="-120" yWindow="-120" windowWidth="29040" windowHeight="15720" activeTab="3" xr2:uid="{36694A36-E46D-4E74-BFB5-4D5E29BB1692}"/>
  </bookViews>
  <sheets>
    <sheet name="Miguel La M" sheetId="1" r:id="rId1"/>
    <sheet name="Jhon Jimenez" sheetId="3" r:id="rId2"/>
    <sheet name="Artistas Okan" sheetId="2" r:id="rId3"/>
    <sheet name="X3" sheetId="4" r:id="rId4"/>
  </sheets>
  <definedNames>
    <definedName name="_xlnm.Print_Area" localSheetId="0">'Miguel La M'!$A$1:$Q$33</definedName>
    <definedName name="_xlnm.Print_Area" localSheetId="3">'X3'!$A$2:$Q$38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O3" i="4" s="1"/>
  <c r="N13" i="4"/>
  <c r="N16" i="4"/>
  <c r="O16" i="4" s="1"/>
  <c r="P16" i="4" s="1"/>
  <c r="O22" i="4"/>
  <c r="P22" i="4" s="1"/>
  <c r="O7" i="4"/>
  <c r="P7" i="4" s="1"/>
  <c r="O6" i="4"/>
  <c r="P6" i="4" s="1"/>
  <c r="O5" i="4"/>
  <c r="P5" i="4" s="1"/>
  <c r="L16" i="4"/>
  <c r="O36" i="4"/>
  <c r="P36" i="4" s="1"/>
  <c r="D36" i="4"/>
  <c r="C36" i="4"/>
  <c r="F36" i="4" s="1"/>
  <c r="G36" i="4" s="1"/>
  <c r="H36" i="4" s="1"/>
  <c r="F35" i="4"/>
  <c r="G35" i="4" s="1"/>
  <c r="H35" i="4" s="1"/>
  <c r="F34" i="4"/>
  <c r="G34" i="4" s="1"/>
  <c r="H34" i="4" s="1"/>
  <c r="F33" i="4"/>
  <c r="G33" i="4" s="1"/>
  <c r="H33" i="4" s="1"/>
  <c r="F32" i="4"/>
  <c r="G32" i="4" s="1"/>
  <c r="H32" i="4" s="1"/>
  <c r="O30" i="4"/>
  <c r="P30" i="4" s="1"/>
  <c r="F30" i="4"/>
  <c r="G30" i="4" s="1"/>
  <c r="H30" i="4" s="1"/>
  <c r="O28" i="4"/>
  <c r="P28" i="4" s="1"/>
  <c r="F28" i="4"/>
  <c r="G28" i="4" s="1"/>
  <c r="H28" i="4" s="1"/>
  <c r="O27" i="4"/>
  <c r="P27" i="4" s="1"/>
  <c r="F27" i="4"/>
  <c r="G27" i="4" s="1"/>
  <c r="H27" i="4" s="1"/>
  <c r="F23" i="4"/>
  <c r="G23" i="4" s="1"/>
  <c r="H23" i="4" s="1"/>
  <c r="F22" i="4"/>
  <c r="G22" i="4" s="1"/>
  <c r="H22" i="4" s="1"/>
  <c r="N21" i="4"/>
  <c r="O21" i="4" s="1"/>
  <c r="P21" i="4" s="1"/>
  <c r="F21" i="4"/>
  <c r="G21" i="4" s="1"/>
  <c r="H21" i="4" s="1"/>
  <c r="O19" i="4"/>
  <c r="P19" i="4" s="1"/>
  <c r="F19" i="4"/>
  <c r="G19" i="4" s="1"/>
  <c r="H19" i="4" s="1"/>
  <c r="O18" i="4"/>
  <c r="P18" i="4" s="1"/>
  <c r="F18" i="4"/>
  <c r="G18" i="4" s="1"/>
  <c r="H18" i="4" s="1"/>
  <c r="O17" i="4"/>
  <c r="P17" i="4" s="1"/>
  <c r="F17" i="4"/>
  <c r="G17" i="4" s="1"/>
  <c r="H17" i="4" s="1"/>
  <c r="F16" i="4"/>
  <c r="G16" i="4" s="1"/>
  <c r="H16" i="4" s="1"/>
  <c r="O14" i="4"/>
  <c r="P14" i="4" s="1"/>
  <c r="F14" i="4"/>
  <c r="G14" i="4" s="1"/>
  <c r="H14" i="4" s="1"/>
  <c r="O13" i="4"/>
  <c r="P13" i="4" s="1"/>
  <c r="F13" i="4"/>
  <c r="G13" i="4" s="1"/>
  <c r="H13" i="4" s="1"/>
  <c r="O11" i="4"/>
  <c r="P11" i="4" s="1"/>
  <c r="D11" i="4"/>
  <c r="F11" i="4" s="1"/>
  <c r="G11" i="4" s="1"/>
  <c r="H11" i="4" s="1"/>
  <c r="O10" i="4"/>
  <c r="D10" i="4"/>
  <c r="F10" i="4" s="1"/>
  <c r="G10" i="4" s="1"/>
  <c r="H10" i="4" s="1"/>
  <c r="O9" i="4"/>
  <c r="D9" i="4"/>
  <c r="F9" i="4" s="1"/>
  <c r="G9" i="4" s="1"/>
  <c r="H9" i="4" s="1"/>
  <c r="F7" i="4"/>
  <c r="G7" i="4" s="1"/>
  <c r="H7" i="4" s="1"/>
  <c r="F6" i="4"/>
  <c r="G6" i="4" s="1"/>
  <c r="H6" i="4" s="1"/>
  <c r="D5" i="4"/>
  <c r="F5" i="4" s="1"/>
  <c r="F3" i="4"/>
  <c r="G3" i="4" s="1"/>
  <c r="H3" i="4" s="1"/>
  <c r="O16" i="3"/>
  <c r="P16" i="3" s="1"/>
  <c r="F16" i="3"/>
  <c r="G16" i="3" s="1"/>
  <c r="H16" i="3" s="1"/>
  <c r="O14" i="3"/>
  <c r="F14" i="3"/>
  <c r="G14" i="3" s="1"/>
  <c r="H14" i="3" s="1"/>
  <c r="D13" i="3"/>
  <c r="F13" i="3" s="1"/>
  <c r="G13" i="3" s="1"/>
  <c r="H13" i="3" s="1"/>
  <c r="N12" i="3"/>
  <c r="N17" i="3" s="1"/>
  <c r="F12" i="3"/>
  <c r="G12" i="3" s="1"/>
  <c r="H12" i="3" s="1"/>
  <c r="O10" i="3"/>
  <c r="P10" i="3" s="1"/>
  <c r="D10" i="3"/>
  <c r="F10" i="3" s="1"/>
  <c r="G10" i="3" s="1"/>
  <c r="H10" i="3" s="1"/>
  <c r="O9" i="3"/>
  <c r="P9" i="3" s="1"/>
  <c r="D9" i="3"/>
  <c r="F9" i="3" s="1"/>
  <c r="G9" i="3" s="1"/>
  <c r="H9" i="3" s="1"/>
  <c r="O8" i="3"/>
  <c r="P8" i="3" s="1"/>
  <c r="D8" i="3"/>
  <c r="F8" i="3" s="1"/>
  <c r="G8" i="3" s="1"/>
  <c r="H8" i="3" s="1"/>
  <c r="O7" i="3"/>
  <c r="P7" i="3" s="1"/>
  <c r="D7" i="3"/>
  <c r="F7" i="3" s="1"/>
  <c r="G7" i="3" s="1"/>
  <c r="H7" i="3" s="1"/>
  <c r="O5" i="3"/>
  <c r="P5" i="3" s="1"/>
  <c r="D5" i="3"/>
  <c r="F5" i="3" s="1"/>
  <c r="G5" i="3" s="1"/>
  <c r="H5" i="3" s="1"/>
  <c r="O4" i="3"/>
  <c r="P4" i="3" s="1"/>
  <c r="D4" i="3"/>
  <c r="F4" i="3" s="1"/>
  <c r="G4" i="3" s="1"/>
  <c r="H4" i="3" s="1"/>
  <c r="O2" i="3"/>
  <c r="P2" i="3" s="1"/>
  <c r="D2" i="3"/>
  <c r="F2" i="3" s="1"/>
  <c r="N20" i="1"/>
  <c r="N33" i="1" s="1"/>
  <c r="N2" i="2"/>
  <c r="O2" i="2" s="1"/>
  <c r="N4" i="2"/>
  <c r="O4" i="2" s="1"/>
  <c r="P4" i="2" s="1"/>
  <c r="N7" i="2"/>
  <c r="O17" i="2"/>
  <c r="F17" i="2"/>
  <c r="G17" i="2" s="1"/>
  <c r="H17" i="2" s="1"/>
  <c r="O16" i="2"/>
  <c r="P16" i="2" s="1"/>
  <c r="F16" i="2"/>
  <c r="G16" i="2" s="1"/>
  <c r="H16" i="2" s="1"/>
  <c r="O14" i="2"/>
  <c r="F14" i="2"/>
  <c r="G14" i="2" s="1"/>
  <c r="H14" i="2" s="1"/>
  <c r="D13" i="2"/>
  <c r="F13" i="2" s="1"/>
  <c r="G13" i="2" s="1"/>
  <c r="H13" i="2" s="1"/>
  <c r="F12" i="2"/>
  <c r="G12" i="2" s="1"/>
  <c r="H12" i="2" s="1"/>
  <c r="O10" i="2"/>
  <c r="P10" i="2" s="1"/>
  <c r="D10" i="2"/>
  <c r="F10" i="2" s="1"/>
  <c r="G10" i="2" s="1"/>
  <c r="H10" i="2" s="1"/>
  <c r="O9" i="2"/>
  <c r="P9" i="2" s="1"/>
  <c r="D9" i="2"/>
  <c r="F9" i="2" s="1"/>
  <c r="G9" i="2" s="1"/>
  <c r="H9" i="2" s="1"/>
  <c r="O8" i="2"/>
  <c r="P8" i="2" s="1"/>
  <c r="D8" i="2"/>
  <c r="F8" i="2" s="1"/>
  <c r="G8" i="2" s="1"/>
  <c r="H8" i="2" s="1"/>
  <c r="O7" i="2"/>
  <c r="P7" i="2" s="1"/>
  <c r="D7" i="2"/>
  <c r="F7" i="2" s="1"/>
  <c r="G7" i="2" s="1"/>
  <c r="H7" i="2" s="1"/>
  <c r="O5" i="2"/>
  <c r="P5" i="2" s="1"/>
  <c r="D5" i="2"/>
  <c r="F5" i="2" s="1"/>
  <c r="G5" i="2" s="1"/>
  <c r="H5" i="2" s="1"/>
  <c r="D4" i="2"/>
  <c r="F4" i="2" s="1"/>
  <c r="G4" i="2" s="1"/>
  <c r="H4" i="2" s="1"/>
  <c r="D2" i="2"/>
  <c r="F2" i="2" s="1"/>
  <c r="G20" i="1"/>
  <c r="H20" i="1" s="1"/>
  <c r="F20" i="1"/>
  <c r="O6" i="1"/>
  <c r="F6" i="1"/>
  <c r="G6" i="1" s="1"/>
  <c r="H6" i="1" s="1"/>
  <c r="D4" i="1"/>
  <c r="F4" i="1" s="1"/>
  <c r="G4" i="1" s="1"/>
  <c r="H4" i="1" s="1"/>
  <c r="F5" i="1"/>
  <c r="G5" i="1" s="1"/>
  <c r="H5" i="1" s="1"/>
  <c r="D8" i="1"/>
  <c r="F8" i="1" s="1"/>
  <c r="G8" i="1" s="1"/>
  <c r="H8" i="1" s="1"/>
  <c r="D9" i="1"/>
  <c r="F9" i="1" s="1"/>
  <c r="G9" i="1" s="1"/>
  <c r="H9" i="1" s="1"/>
  <c r="D10" i="1"/>
  <c r="F10" i="1" s="1"/>
  <c r="G10" i="1" s="1"/>
  <c r="H10" i="1" s="1"/>
  <c r="D12" i="1"/>
  <c r="F12" i="1" s="1"/>
  <c r="G12" i="1" s="1"/>
  <c r="H12" i="1" s="1"/>
  <c r="D13" i="1"/>
  <c r="F13" i="1" s="1"/>
  <c r="G13" i="1" s="1"/>
  <c r="H13" i="1" s="1"/>
  <c r="D15" i="1"/>
  <c r="F15" i="1" s="1"/>
  <c r="G15" i="1" s="1"/>
  <c r="H15" i="1" s="1"/>
  <c r="D16" i="1"/>
  <c r="F16" i="1" s="1"/>
  <c r="G16" i="1" s="1"/>
  <c r="H16" i="1" s="1"/>
  <c r="D17" i="1"/>
  <c r="F17" i="1" s="1"/>
  <c r="G17" i="1" s="1"/>
  <c r="H17" i="1" s="1"/>
  <c r="D18" i="1"/>
  <c r="F18" i="1" s="1"/>
  <c r="G18" i="1" s="1"/>
  <c r="H18" i="1" s="1"/>
  <c r="D2" i="1"/>
  <c r="F22" i="1"/>
  <c r="G22" i="1" s="1"/>
  <c r="H22" i="1" s="1"/>
  <c r="O4" i="1"/>
  <c r="P4" i="1" s="1"/>
  <c r="O5" i="1"/>
  <c r="P5" i="1" s="1"/>
  <c r="O8" i="1"/>
  <c r="O9" i="1"/>
  <c r="O10" i="1"/>
  <c r="P10" i="1" s="1"/>
  <c r="O12" i="1"/>
  <c r="P12" i="1" s="1"/>
  <c r="O13" i="1"/>
  <c r="P13" i="1" s="1"/>
  <c r="O15" i="1"/>
  <c r="P15" i="1" s="1"/>
  <c r="O16" i="1"/>
  <c r="P16" i="1" s="1"/>
  <c r="O17" i="1"/>
  <c r="P17" i="1" s="1"/>
  <c r="O18" i="1"/>
  <c r="P18" i="1" s="1"/>
  <c r="O22" i="1"/>
  <c r="O24" i="1"/>
  <c r="P24" i="1" s="1"/>
  <c r="O25" i="1"/>
  <c r="P25" i="1" s="1"/>
  <c r="O26" i="1"/>
  <c r="P26" i="1" s="1"/>
  <c r="O28" i="1"/>
  <c r="O29" i="1"/>
  <c r="O30" i="1"/>
  <c r="O31" i="1"/>
  <c r="O32" i="1"/>
  <c r="P32" i="1" s="1"/>
  <c r="O2" i="1"/>
  <c r="P2" i="1" s="1"/>
  <c r="D21" i="1"/>
  <c r="F21" i="1" s="1"/>
  <c r="G21" i="1" s="1"/>
  <c r="H21" i="1" s="1"/>
  <c r="F24" i="1"/>
  <c r="G24" i="1" s="1"/>
  <c r="H24" i="1" s="1"/>
  <c r="F25" i="1"/>
  <c r="G25" i="1" s="1"/>
  <c r="H25" i="1" s="1"/>
  <c r="F26" i="1"/>
  <c r="G26" i="1" s="1"/>
  <c r="H26" i="1" s="1"/>
  <c r="F28" i="1"/>
  <c r="G28" i="1" s="1"/>
  <c r="H28" i="1" s="1"/>
  <c r="F29" i="1"/>
  <c r="G29" i="1" s="1"/>
  <c r="H29" i="1" s="1"/>
  <c r="F30" i="1"/>
  <c r="G30" i="1" s="1"/>
  <c r="H30" i="1" s="1"/>
  <c r="F31" i="1"/>
  <c r="G31" i="1" s="1"/>
  <c r="H31" i="1" s="1"/>
  <c r="D32" i="1"/>
  <c r="C32" i="1"/>
  <c r="F32" i="1" s="1"/>
  <c r="G32" i="1" s="1"/>
  <c r="H32" i="1" s="1"/>
  <c r="N37" i="4" l="1"/>
  <c r="O37" i="4"/>
  <c r="F37" i="4"/>
  <c r="G5" i="4"/>
  <c r="H5" i="4" s="1"/>
  <c r="H37" i="4" s="1"/>
  <c r="P3" i="4"/>
  <c r="P37" i="4" s="1"/>
  <c r="O17" i="3"/>
  <c r="P17" i="3"/>
  <c r="F17" i="3"/>
  <c r="G2" i="3"/>
  <c r="H2" i="3" s="1"/>
  <c r="H17" i="3" s="1"/>
  <c r="H18" i="3" s="1"/>
  <c r="N18" i="2"/>
  <c r="O18" i="2"/>
  <c r="P2" i="2"/>
  <c r="P18" i="2" s="1"/>
  <c r="F18" i="2"/>
  <c r="G2" i="2"/>
  <c r="F2" i="1"/>
  <c r="O33" i="1"/>
  <c r="P33" i="1"/>
  <c r="H38" i="4" l="1"/>
  <c r="H2" i="2"/>
  <c r="H18" i="2" s="1"/>
  <c r="H19" i="2" s="1"/>
  <c r="G2" i="1"/>
  <c r="F33" i="1"/>
  <c r="H2" i="1" l="1"/>
  <c r="H33" i="1" s="1"/>
  <c r="H34" i="1" s="1"/>
</calcChain>
</file>

<file path=xl/sharedStrings.xml><?xml version="1.0" encoding="utf-8"?>
<sst xmlns="http://schemas.openxmlformats.org/spreadsheetml/2006/main" count="304" uniqueCount="58">
  <si>
    <t>VALORES</t>
  </si>
  <si>
    <t>PRODUCCION MUSICAL</t>
  </si>
  <si>
    <t>Producción Musical Completa (COP por canción)</t>
  </si>
  <si>
    <t>Canciones</t>
  </si>
  <si>
    <t>Piezas</t>
  </si>
  <si>
    <t>DESARROLLO ARTISTICO</t>
  </si>
  <si>
    <t>Construccion e identidad Visual  (COP)</t>
  </si>
  <si>
    <t xml:space="preserve">Unico pago </t>
  </si>
  <si>
    <t>Direccion Artistica (COP)</t>
  </si>
  <si>
    <t>MARKETING</t>
  </si>
  <si>
    <t>Meses</t>
  </si>
  <si>
    <t>Presupuesto para pauta en Meta Ads</t>
  </si>
  <si>
    <t>DESARROLLO DIGITAL DEL ARTISTA</t>
  </si>
  <si>
    <t>Micro Influencer y Tiktoker</t>
  </si>
  <si>
    <t xml:space="preserve">tik tok - posicionamiento en tendencias </t>
  </si>
  <si>
    <t xml:space="preserve">visitas youtube segmentadas </t>
  </si>
  <si>
    <t>Trafico En Establecimiento</t>
  </si>
  <si>
    <t>Movilidad (Mensual)</t>
  </si>
  <si>
    <t>mensual</t>
  </si>
  <si>
    <t xml:space="preserve">Alimentacion </t>
  </si>
  <si>
    <t>Computador</t>
  </si>
  <si>
    <t>unico pago</t>
  </si>
  <si>
    <t>camara profesional</t>
  </si>
  <si>
    <t>microfonos</t>
  </si>
  <si>
    <t>Tripode, luces y accesorios</t>
  </si>
  <si>
    <t xml:space="preserve">Programas y herramientas de edicion </t>
  </si>
  <si>
    <t>meses</t>
  </si>
  <si>
    <t>Arte Diseño grafico (Incluye Caratula , pieza para redes, Banners)</t>
  </si>
  <si>
    <t>Comunity Manager (Equipo y Gestion Operativa de redes sociales,creacion, grabacion edicion, programacion y publicacion de contenido)</t>
  </si>
  <si>
    <t>Estrategia Digital (Unico Pago)(Diagnostico del artista y su presencia digital, analisis de audiencia y competencia, definicion de objetivos posicionamiento)</t>
  </si>
  <si>
    <t>Propuesta OKAN MUSIC COMPANY</t>
  </si>
  <si>
    <t>Detalle</t>
  </si>
  <si>
    <t>Direccion Operativa (Dirección operativa, coordinación, Organización, Trabajo de campo y reportes)</t>
  </si>
  <si>
    <t>NECESIDADES DEL ARTISTA</t>
  </si>
  <si>
    <t>ARBNB (Vivienda Artista)</t>
  </si>
  <si>
    <t>Equipos grabacion de contenido</t>
  </si>
  <si>
    <t>Valores</t>
  </si>
  <si>
    <t>Cant</t>
  </si>
  <si>
    <t>Total (COP)</t>
  </si>
  <si>
    <t>Total EUR</t>
  </si>
  <si>
    <t>Etapa 1</t>
  </si>
  <si>
    <t>Total USD</t>
  </si>
  <si>
    <t>Etapa 2</t>
  </si>
  <si>
    <t xml:space="preserve">Total General </t>
  </si>
  <si>
    <t>USD</t>
  </si>
  <si>
    <t>Imprevistos Generales</t>
  </si>
  <si>
    <t>Pago trimestral</t>
  </si>
  <si>
    <t>Transporte y Viaticos</t>
  </si>
  <si>
    <t>ESTRATEGIA Y GESTION BOOKING y RP (VALLE)</t>
  </si>
  <si>
    <t>Locacion cinematools (12 horas)</t>
  </si>
  <si>
    <t>Por locacion</t>
  </si>
  <si>
    <t>Audiovisual Visualzer Pro (COP por pieza)</t>
  </si>
  <si>
    <t>Incentivo Economico</t>
  </si>
  <si>
    <t xml:space="preserve">NOTA: </t>
  </si>
  <si>
    <t>NOTA: Se Sugiere Manejar los equipos de grabacion en Calidad de Prestamo.
EL Rubro de Direccion Operativa Disminuye Hasta en un 30%  segun la cantidad de artistas Aprobados por los inverionistas.</t>
  </si>
  <si>
    <t>NOTA:EL Rubro de Direccion Operativa Disminuye Hasta en un 30%  segun la cantidad de artistas Aprobados por los inverionistas</t>
  </si>
  <si>
    <t>Incentivo</t>
  </si>
  <si>
    <t>Vestuario y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</si>
</sst>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&quot;$&quot;\ #,##0"/>
    <numFmt numFmtId="167" formatCode="\$#,##0;&quot;($&quot;#,##0\);\-"/>
    <numFmt numFmtId="169" formatCode="_-* #,##0_-;\-* #,##0_-;_-* &quot;-&quot;??_-;_-@_-"/>
    <numFmt numFmtId="171" formatCode="_-&quot;$&quot;\ * #,##0_-;\-&quot;$&quot;\ * #,##0_-;_-&quot;$&quot;\ 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charset val="1"/>
    </font>
    <font>
      <b/>
      <sz val="10"/>
      <color rgb="FFC00000"/>
      <name val="Arial"/>
      <family val="2"/>
    </font>
    <font>
      <sz val="10"/>
      <color rgb="FF0000FF"/>
      <name val="Arial"/>
      <charset val="1"/>
    </font>
    <font>
      <sz val="11"/>
      <color theme="1"/>
      <name val="Arial"/>
      <charset val="1"/>
    </font>
    <font>
      <b/>
      <sz val="16"/>
      <color theme="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AF8C8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 applyBorder="1"/>
    <xf numFmtId="1" fontId="0" fillId="2" borderId="0" xfId="0" applyNumberFormat="1" applyFill="1" applyBorder="1" applyAlignment="1">
      <alignment horizontal="center"/>
    </xf>
    <xf numFmtId="165" fontId="0" fillId="2" borderId="0" xfId="0" applyNumberFormat="1" applyFill="1" applyBorder="1" applyAlignment="1">
      <alignment horizontal="center"/>
    </xf>
    <xf numFmtId="1" fontId="7" fillId="2" borderId="0" xfId="0" applyNumberFormat="1" applyFont="1" applyFill="1" applyBorder="1" applyAlignment="1">
      <alignment horizontal="center" vertical="center"/>
    </xf>
    <xf numFmtId="1" fontId="6" fillId="2" borderId="0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/>
    </xf>
    <xf numFmtId="1" fontId="10" fillId="2" borderId="0" xfId="0" applyNumberFormat="1" applyFont="1" applyFill="1" applyBorder="1" applyAlignment="1">
      <alignment horizontal="center"/>
    </xf>
    <xf numFmtId="165" fontId="10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" fontId="9" fillId="3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/>
    <xf numFmtId="171" fontId="7" fillId="2" borderId="0" xfId="2" applyNumberFormat="1" applyFont="1" applyFill="1" applyBorder="1" applyAlignment="1">
      <alignment horizontal="center" vertical="center"/>
    </xf>
    <xf numFmtId="171" fontId="4" fillId="2" borderId="0" xfId="2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165" fontId="12" fillId="3" borderId="0" xfId="0" applyNumberFormat="1" applyFont="1" applyFill="1" applyBorder="1" applyAlignment="1">
      <alignment horizontal="center" vertical="center"/>
    </xf>
    <xf numFmtId="1" fontId="12" fillId="3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vertical="center" wrapText="1"/>
    </xf>
    <xf numFmtId="171" fontId="5" fillId="5" borderId="0" xfId="2" applyNumberFormat="1" applyFon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71" fontId="6" fillId="2" borderId="0" xfId="2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vertical="center" wrapText="1"/>
    </xf>
    <xf numFmtId="171" fontId="14" fillId="4" borderId="0" xfId="2" applyNumberFormat="1" applyFont="1" applyFill="1" applyBorder="1" applyAlignment="1">
      <alignment horizontal="center" vertical="center"/>
    </xf>
    <xf numFmtId="1" fontId="14" fillId="4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vertical="center" wrapText="1"/>
    </xf>
    <xf numFmtId="171" fontId="7" fillId="6" borderId="0" xfId="2" applyNumberFormat="1" applyFont="1" applyFill="1" applyBorder="1" applyAlignment="1">
      <alignment horizontal="center" vertical="center"/>
    </xf>
    <xf numFmtId="1" fontId="7" fillId="6" borderId="0" xfId="0" applyNumberFormat="1" applyFont="1" applyFill="1" applyBorder="1" applyAlignment="1">
      <alignment horizontal="center" vertical="center"/>
    </xf>
    <xf numFmtId="1" fontId="6" fillId="6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vertical="center" wrapText="1"/>
    </xf>
    <xf numFmtId="171" fontId="7" fillId="7" borderId="0" xfId="2" applyNumberFormat="1" applyFont="1" applyFill="1" applyBorder="1" applyAlignment="1">
      <alignment horizontal="center" vertical="center"/>
    </xf>
    <xf numFmtId="1" fontId="7" fillId="7" borderId="0" xfId="0" applyNumberFormat="1" applyFont="1" applyFill="1" applyBorder="1" applyAlignment="1">
      <alignment horizontal="center" vertical="center"/>
    </xf>
    <xf numFmtId="1" fontId="6" fillId="7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 textRotation="90" wrapText="1"/>
    </xf>
    <xf numFmtId="0" fontId="11" fillId="5" borderId="0" xfId="0" applyFont="1" applyFill="1" applyBorder="1" applyAlignment="1">
      <alignment horizontal="center" vertical="center" textRotation="90" wrapText="1"/>
    </xf>
    <xf numFmtId="171" fontId="0" fillId="5" borderId="0" xfId="2" applyNumberFormat="1" applyFont="1" applyFill="1" applyBorder="1" applyAlignment="1">
      <alignment horizontal="center"/>
    </xf>
    <xf numFmtId="171" fontId="6" fillId="6" borderId="0" xfId="2" applyNumberFormat="1" applyFont="1" applyFill="1" applyBorder="1" applyAlignment="1">
      <alignment horizontal="center" vertical="center"/>
    </xf>
    <xf numFmtId="171" fontId="6" fillId="7" borderId="0" xfId="2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/>
    </xf>
    <xf numFmtId="171" fontId="11" fillId="4" borderId="0" xfId="0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vertical="center" wrapText="1"/>
    </xf>
    <xf numFmtId="169" fontId="0" fillId="2" borderId="0" xfId="1" applyNumberFormat="1" applyFont="1" applyFill="1" applyBorder="1"/>
    <xf numFmtId="171" fontId="0" fillId="2" borderId="0" xfId="0" applyNumberFormat="1" applyFill="1" applyBorder="1"/>
    <xf numFmtId="0" fontId="6" fillId="8" borderId="0" xfId="0" applyFont="1" applyFill="1" applyBorder="1" applyAlignment="1">
      <alignment vertical="center" wrapText="1"/>
    </xf>
    <xf numFmtId="171" fontId="7" fillId="8" borderId="0" xfId="2" applyNumberFormat="1" applyFont="1" applyFill="1" applyBorder="1" applyAlignment="1">
      <alignment horizontal="center" vertical="center"/>
    </xf>
    <xf numFmtId="1" fontId="7" fillId="8" borderId="0" xfId="0" applyNumberFormat="1" applyFont="1" applyFill="1" applyBorder="1" applyAlignment="1">
      <alignment horizontal="center" vertical="center"/>
    </xf>
    <xf numFmtId="1" fontId="6" fillId="8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/>
    </xf>
    <xf numFmtId="1" fontId="6" fillId="2" borderId="0" xfId="0" applyNumberFormat="1" applyFont="1" applyFill="1" applyBorder="1" applyAlignment="1">
      <alignment horizontal="left" vertical="center"/>
    </xf>
    <xf numFmtId="1" fontId="0" fillId="5" borderId="0" xfId="0" applyNumberFormat="1" applyFill="1" applyBorder="1" applyAlignment="1">
      <alignment horizontal="left"/>
    </xf>
    <xf numFmtId="171" fontId="7" fillId="2" borderId="0" xfId="2" applyNumberFormat="1" applyFont="1" applyFill="1" applyBorder="1" applyAlignment="1">
      <alignment horizontal="left" vertical="center"/>
    </xf>
    <xf numFmtId="1" fontId="6" fillId="6" borderId="0" xfId="0" applyNumberFormat="1" applyFont="1" applyFill="1" applyBorder="1" applyAlignment="1">
      <alignment horizontal="left" vertical="center"/>
    </xf>
    <xf numFmtId="171" fontId="14" fillId="4" borderId="0" xfId="2" applyNumberFormat="1" applyFont="1" applyFill="1" applyBorder="1" applyAlignment="1">
      <alignment horizontal="left" vertical="center"/>
    </xf>
    <xf numFmtId="171" fontId="7" fillId="6" borderId="0" xfId="2" applyNumberFormat="1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/>
    </xf>
    <xf numFmtId="171" fontId="7" fillId="7" borderId="0" xfId="2" applyNumberFormat="1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171" fontId="7" fillId="2" borderId="4" xfId="2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left" vertical="center"/>
    </xf>
    <xf numFmtId="171" fontId="5" fillId="5" borderId="4" xfId="2" applyNumberFormat="1" applyFont="1" applyFill="1" applyBorder="1" applyAlignment="1">
      <alignment horizontal="center"/>
    </xf>
    <xf numFmtId="1" fontId="0" fillId="5" borderId="5" xfId="0" applyNumberFormat="1" applyFill="1" applyBorder="1" applyAlignment="1">
      <alignment horizontal="left"/>
    </xf>
    <xf numFmtId="171" fontId="7" fillId="2" borderId="5" xfId="2" applyNumberFormat="1" applyFont="1" applyFill="1" applyBorder="1" applyAlignment="1">
      <alignment horizontal="left" vertical="center"/>
    </xf>
    <xf numFmtId="1" fontId="6" fillId="6" borderId="5" xfId="0" applyNumberFormat="1" applyFont="1" applyFill="1" applyBorder="1" applyAlignment="1">
      <alignment horizontal="left" vertical="center"/>
    </xf>
    <xf numFmtId="171" fontId="14" fillId="4" borderId="4" xfId="2" applyNumberFormat="1" applyFont="1" applyFill="1" applyBorder="1" applyAlignment="1">
      <alignment horizontal="center" vertical="center"/>
    </xf>
    <xf numFmtId="171" fontId="14" fillId="4" borderId="5" xfId="2" applyNumberFormat="1" applyFont="1" applyFill="1" applyBorder="1" applyAlignment="1">
      <alignment horizontal="left" vertical="center"/>
    </xf>
    <xf numFmtId="171" fontId="7" fillId="6" borderId="4" xfId="2" applyNumberFormat="1" applyFont="1" applyFill="1" applyBorder="1" applyAlignment="1">
      <alignment horizontal="center" vertical="center"/>
    </xf>
    <xf numFmtId="171" fontId="7" fillId="6" borderId="5" xfId="2" applyNumberFormat="1" applyFont="1" applyFill="1" applyBorder="1" applyAlignment="1">
      <alignment horizontal="left" vertical="center"/>
    </xf>
    <xf numFmtId="171" fontId="7" fillId="7" borderId="4" xfId="2" applyNumberFormat="1" applyFont="1" applyFill="1" applyBorder="1" applyAlignment="1">
      <alignment horizontal="center" vertical="center"/>
    </xf>
    <xf numFmtId="171" fontId="7" fillId="7" borderId="5" xfId="2" applyNumberFormat="1" applyFont="1" applyFill="1" applyBorder="1" applyAlignment="1">
      <alignment horizontal="left" vertical="center"/>
    </xf>
    <xf numFmtId="0" fontId="0" fillId="2" borderId="4" xfId="0" applyFill="1" applyBorder="1"/>
    <xf numFmtId="171" fontId="7" fillId="2" borderId="5" xfId="2" applyNumberFormat="1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171" fontId="11" fillId="4" borderId="7" xfId="0" applyNumberFormat="1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71" fontId="7" fillId="8" borderId="4" xfId="2" applyNumberFormat="1" applyFont="1" applyFill="1" applyBorder="1" applyAlignment="1">
      <alignment horizontal="center" vertical="center"/>
    </xf>
    <xf numFmtId="169" fontId="0" fillId="2" borderId="0" xfId="0" applyNumberFormat="1" applyFill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2600-1450-4347-AD3B-9BAFAE9F0D4B}">
  <sheetPr>
    <pageSetUpPr fitToPage="1"/>
  </sheetPr>
  <dimension ref="A1:Q38"/>
  <sheetViews>
    <sheetView topLeftCell="A10" zoomScale="96" zoomScaleNormal="96" workbookViewId="0">
      <pane xSplit="3" topLeftCell="D1" activePane="topRight" state="frozen"/>
      <selection pane="topRight" activeCell="B39" sqref="B39"/>
    </sheetView>
  </sheetViews>
  <sheetFormatPr baseColWidth="10" defaultColWidth="8.7109375" defaultRowHeight="15" x14ac:dyDescent="0.25"/>
  <cols>
    <col min="1" max="1" width="5.28515625" style="1" customWidth="1"/>
    <col min="2" max="2" width="69.7109375" style="1" customWidth="1"/>
    <col min="3" max="3" width="13" style="11" hidden="1" customWidth="1"/>
    <col min="4" max="4" width="13.42578125" style="11" bestFit="1" customWidth="1"/>
    <col min="5" max="5" width="13.85546875" style="2" bestFit="1" customWidth="1"/>
    <col min="6" max="6" width="13.85546875" style="3" customWidth="1"/>
    <col min="7" max="7" width="10.140625" style="1" customWidth="1"/>
    <col min="8" max="8" width="13.85546875" style="1" bestFit="1" customWidth="1"/>
    <col min="9" max="9" width="13.5703125" style="2" bestFit="1" customWidth="1"/>
    <col min="10" max="10" width="8.7109375" style="1" hidden="1" customWidth="1"/>
    <col min="11" max="11" width="4.85546875" style="1" customWidth="1"/>
    <col min="12" max="12" width="13.42578125" style="1" bestFit="1" customWidth="1"/>
    <col min="13" max="13" width="8.7109375" style="1"/>
    <col min="14" max="14" width="13.42578125" style="1" bestFit="1" customWidth="1"/>
    <col min="15" max="15" width="12.85546875" style="1" hidden="1" customWidth="1"/>
    <col min="16" max="16" width="9.7109375" style="1" bestFit="1" customWidth="1"/>
    <col min="17" max="17" width="14.7109375" style="1" bestFit="1" customWidth="1"/>
    <col min="18" max="16384" width="8.7109375" style="1"/>
  </cols>
  <sheetData>
    <row r="1" spans="1:17" ht="42" x14ac:dyDescent="0.25">
      <c r="A1" s="37" t="s">
        <v>40</v>
      </c>
      <c r="B1" s="16" t="s">
        <v>30</v>
      </c>
      <c r="C1" s="16" t="s">
        <v>0</v>
      </c>
      <c r="D1" s="16" t="s">
        <v>36</v>
      </c>
      <c r="E1" s="16" t="s">
        <v>37</v>
      </c>
      <c r="F1" s="16" t="s">
        <v>38</v>
      </c>
      <c r="G1" s="16" t="s">
        <v>39</v>
      </c>
      <c r="H1" s="16" t="s">
        <v>41</v>
      </c>
      <c r="I1" s="16" t="s">
        <v>31</v>
      </c>
      <c r="J1" s="13">
        <v>3569.9</v>
      </c>
      <c r="K1" s="38" t="s">
        <v>42</v>
      </c>
      <c r="L1" s="16" t="s">
        <v>36</v>
      </c>
      <c r="M1" s="16" t="s">
        <v>37</v>
      </c>
      <c r="N1" s="16" t="s">
        <v>38</v>
      </c>
      <c r="O1" s="16" t="s">
        <v>39</v>
      </c>
      <c r="P1" s="16" t="s">
        <v>41</v>
      </c>
      <c r="Q1" s="16" t="s">
        <v>31</v>
      </c>
    </row>
    <row r="2" spans="1:17" ht="25.5" x14ac:dyDescent="0.25">
      <c r="A2" s="37"/>
      <c r="B2" s="18" t="s">
        <v>32</v>
      </c>
      <c r="C2" s="14">
        <v>9500000</v>
      </c>
      <c r="D2" s="14">
        <f>C2*120%</f>
        <v>11400000</v>
      </c>
      <c r="E2" s="4">
        <v>3</v>
      </c>
      <c r="F2" s="14">
        <f>D2*E2</f>
        <v>34200000</v>
      </c>
      <c r="G2" s="14">
        <f>F2/J$1</f>
        <v>9580.1002829210902</v>
      </c>
      <c r="H2" s="14">
        <f>G2*J$2</f>
        <v>10729.712316871623</v>
      </c>
      <c r="I2" s="5" t="s">
        <v>10</v>
      </c>
      <c r="J2" s="13">
        <v>1.1200000000000001</v>
      </c>
      <c r="K2" s="38"/>
      <c r="L2" s="14">
        <v>11400000</v>
      </c>
      <c r="M2" s="4">
        <v>3</v>
      </c>
      <c r="N2" s="25">
        <v>34200000</v>
      </c>
      <c r="O2" s="14">
        <f>N2/J$1</f>
        <v>9580.1002829210902</v>
      </c>
      <c r="P2" s="14">
        <f>O2*J$2</f>
        <v>10729.712316871623</v>
      </c>
      <c r="Q2" s="52" t="s">
        <v>10</v>
      </c>
    </row>
    <row r="3" spans="1:17" x14ac:dyDescent="0.25">
      <c r="A3" s="37"/>
      <c r="B3" s="22" t="s">
        <v>1</v>
      </c>
      <c r="C3" s="23"/>
      <c r="D3" s="23"/>
      <c r="E3" s="24"/>
      <c r="F3" s="24"/>
      <c r="G3" s="24"/>
      <c r="H3" s="24"/>
      <c r="I3" s="24"/>
      <c r="K3" s="38"/>
      <c r="L3" s="24"/>
      <c r="M3" s="24"/>
      <c r="N3" s="39"/>
      <c r="O3" s="24"/>
      <c r="P3" s="24"/>
      <c r="Q3" s="53"/>
    </row>
    <row r="4" spans="1:17" x14ac:dyDescent="0.25">
      <c r="A4" s="37"/>
      <c r="B4" s="18" t="s">
        <v>2</v>
      </c>
      <c r="C4" s="14">
        <v>2000000</v>
      </c>
      <c r="D4" s="14">
        <f t="shared" ref="D4:D18" si="0">C4*120%</f>
        <v>2400000</v>
      </c>
      <c r="E4" s="4">
        <v>3</v>
      </c>
      <c r="F4" s="14">
        <f>D4*E4</f>
        <v>7200000</v>
      </c>
      <c r="G4" s="14">
        <f>F4/J$1</f>
        <v>2016.8632174570716</v>
      </c>
      <c r="H4" s="14">
        <f t="shared" ref="H4:H32" si="1">G4*J$2</f>
        <v>2258.8868035519204</v>
      </c>
      <c r="I4" s="5" t="s">
        <v>3</v>
      </c>
      <c r="K4" s="38"/>
      <c r="L4" s="14">
        <v>2400000</v>
      </c>
      <c r="M4" s="4">
        <v>3</v>
      </c>
      <c r="N4" s="25">
        <v>7200000</v>
      </c>
      <c r="O4" s="14">
        <f t="shared" ref="O4:O32" si="2">N4/J$1</f>
        <v>2016.8632174570716</v>
      </c>
      <c r="P4" s="14">
        <f t="shared" ref="P4:P32" si="3">O4*J$2</f>
        <v>2258.8868035519204</v>
      </c>
      <c r="Q4" s="54" t="s">
        <v>3</v>
      </c>
    </row>
    <row r="5" spans="1:17" x14ac:dyDescent="0.25">
      <c r="A5" s="37"/>
      <c r="B5" s="18" t="s">
        <v>51</v>
      </c>
      <c r="C5" s="14">
        <v>1700000</v>
      </c>
      <c r="D5" s="14">
        <v>3040000</v>
      </c>
      <c r="E5" s="4">
        <v>3</v>
      </c>
      <c r="F5" s="14">
        <f>D5*E5</f>
        <v>9120000</v>
      </c>
      <c r="G5" s="14">
        <f>F5/J$1</f>
        <v>2554.6934087789573</v>
      </c>
      <c r="H5" s="14">
        <f t="shared" si="1"/>
        <v>2861.2566178324323</v>
      </c>
      <c r="I5" s="5" t="s">
        <v>4</v>
      </c>
      <c r="K5" s="38"/>
      <c r="L5" s="14">
        <v>3040000</v>
      </c>
      <c r="M5" s="4">
        <v>3</v>
      </c>
      <c r="N5" s="25">
        <v>6120000</v>
      </c>
      <c r="O5" s="14">
        <f t="shared" si="2"/>
        <v>1714.3337348385107</v>
      </c>
      <c r="P5" s="14">
        <f t="shared" si="3"/>
        <v>1920.0537830191322</v>
      </c>
      <c r="Q5" s="54" t="s">
        <v>4</v>
      </c>
    </row>
    <row r="6" spans="1:17" x14ac:dyDescent="0.25">
      <c r="A6" s="37"/>
      <c r="B6" s="18" t="s">
        <v>49</v>
      </c>
      <c r="C6" s="14"/>
      <c r="D6" s="14">
        <v>1245000</v>
      </c>
      <c r="E6" s="4">
        <v>3</v>
      </c>
      <c r="F6" s="14">
        <f>D6*E6</f>
        <v>3735000</v>
      </c>
      <c r="G6" s="14">
        <f>F6/J$1</f>
        <v>1046.2477940558558</v>
      </c>
      <c r="H6" s="14">
        <f t="shared" si="1"/>
        <v>1171.7975293425586</v>
      </c>
      <c r="I6" s="5" t="s">
        <v>50</v>
      </c>
      <c r="K6" s="38"/>
      <c r="L6" s="14">
        <v>1245000</v>
      </c>
      <c r="M6" s="4">
        <v>3</v>
      </c>
      <c r="N6" s="14">
        <v>3735000</v>
      </c>
      <c r="O6" s="14" t="e">
        <f>N6/R$1</f>
        <v>#DIV/0!</v>
      </c>
      <c r="P6" s="14">
        <v>1171.7975293425586</v>
      </c>
      <c r="Q6" s="52" t="s">
        <v>50</v>
      </c>
    </row>
    <row r="7" spans="1:17" x14ac:dyDescent="0.25">
      <c r="A7" s="37"/>
      <c r="B7" s="22" t="s">
        <v>5</v>
      </c>
      <c r="C7" s="23"/>
      <c r="D7" s="23"/>
      <c r="E7" s="24"/>
      <c r="F7" s="24"/>
      <c r="G7" s="24"/>
      <c r="H7" s="24"/>
      <c r="I7" s="24"/>
      <c r="K7" s="38"/>
      <c r="L7" s="24"/>
      <c r="M7" s="24"/>
      <c r="N7" s="39"/>
      <c r="O7" s="24"/>
      <c r="P7" s="24"/>
      <c r="Q7" s="53"/>
    </row>
    <row r="8" spans="1:17" x14ac:dyDescent="0.25">
      <c r="A8" s="37"/>
      <c r="B8" s="18" t="s">
        <v>6</v>
      </c>
      <c r="C8" s="14">
        <v>800000</v>
      </c>
      <c r="D8" s="14">
        <f t="shared" si="0"/>
        <v>960000</v>
      </c>
      <c r="E8" s="4">
        <v>1</v>
      </c>
      <c r="F8" s="14">
        <f>D8*E8</f>
        <v>960000</v>
      </c>
      <c r="G8" s="14">
        <f>F8/J$1</f>
        <v>268.91509566094288</v>
      </c>
      <c r="H8" s="14">
        <f t="shared" si="1"/>
        <v>301.18490714025603</v>
      </c>
      <c r="I8" s="5" t="s">
        <v>7</v>
      </c>
      <c r="K8" s="38"/>
      <c r="L8" s="14"/>
      <c r="M8" s="4"/>
      <c r="N8" s="25"/>
      <c r="O8" s="14">
        <f t="shared" si="2"/>
        <v>0</v>
      </c>
      <c r="P8" s="14"/>
      <c r="Q8" s="54"/>
    </row>
    <row r="9" spans="1:17" x14ac:dyDescent="0.25">
      <c r="A9" s="37"/>
      <c r="B9" s="18" t="s">
        <v>8</v>
      </c>
      <c r="C9" s="14">
        <v>500000</v>
      </c>
      <c r="D9" s="14">
        <f t="shared" si="0"/>
        <v>600000</v>
      </c>
      <c r="E9" s="4">
        <v>3</v>
      </c>
      <c r="F9" s="14">
        <f>D9*E9</f>
        <v>1800000</v>
      </c>
      <c r="G9" s="14">
        <f>F9/J$1</f>
        <v>504.21580436426791</v>
      </c>
      <c r="H9" s="14">
        <f t="shared" si="1"/>
        <v>564.72170088798009</v>
      </c>
      <c r="I9" s="5" t="s">
        <v>7</v>
      </c>
      <c r="K9" s="38"/>
      <c r="L9" s="14"/>
      <c r="M9" s="4"/>
      <c r="N9" s="25"/>
      <c r="O9" s="14">
        <f t="shared" si="2"/>
        <v>0</v>
      </c>
      <c r="P9" s="14"/>
      <c r="Q9" s="54"/>
    </row>
    <row r="10" spans="1:17" x14ac:dyDescent="0.25">
      <c r="A10" s="37"/>
      <c r="B10" s="18" t="s">
        <v>27</v>
      </c>
      <c r="C10" s="14">
        <v>600000</v>
      </c>
      <c r="D10" s="14">
        <f t="shared" si="0"/>
        <v>720000</v>
      </c>
      <c r="E10" s="4">
        <v>3</v>
      </c>
      <c r="F10" s="14">
        <f>D10*E10</f>
        <v>2160000</v>
      </c>
      <c r="G10" s="14">
        <f>F10/J$1</f>
        <v>605.05896523712147</v>
      </c>
      <c r="H10" s="14">
        <f t="shared" si="1"/>
        <v>677.66604106557611</v>
      </c>
      <c r="I10" s="5" t="s">
        <v>4</v>
      </c>
      <c r="K10" s="38"/>
      <c r="L10" s="14">
        <v>720000</v>
      </c>
      <c r="M10" s="4">
        <v>3</v>
      </c>
      <c r="N10" s="25">
        <v>2160000</v>
      </c>
      <c r="O10" s="14">
        <f t="shared" si="2"/>
        <v>605.05896523712147</v>
      </c>
      <c r="P10" s="14">
        <f t="shared" si="3"/>
        <v>677.66604106557611</v>
      </c>
      <c r="Q10" s="54" t="s">
        <v>4</v>
      </c>
    </row>
    <row r="11" spans="1:17" x14ac:dyDescent="0.25">
      <c r="A11" s="37"/>
      <c r="B11" s="22" t="s">
        <v>9</v>
      </c>
      <c r="C11" s="23"/>
      <c r="D11" s="23"/>
      <c r="E11" s="24"/>
      <c r="F11" s="24"/>
      <c r="G11" s="24"/>
      <c r="H11" s="24"/>
      <c r="I11" s="24"/>
      <c r="K11" s="38"/>
      <c r="L11" s="24"/>
      <c r="M11" s="24"/>
      <c r="N11" s="39"/>
      <c r="O11" s="24"/>
      <c r="P11" s="24"/>
      <c r="Q11" s="53"/>
    </row>
    <row r="12" spans="1:17" ht="25.5" x14ac:dyDescent="0.25">
      <c r="A12" s="37"/>
      <c r="B12" s="18" t="s">
        <v>28</v>
      </c>
      <c r="C12" s="14">
        <v>10000000</v>
      </c>
      <c r="D12" s="14">
        <f t="shared" si="0"/>
        <v>12000000</v>
      </c>
      <c r="E12" s="5">
        <v>3</v>
      </c>
      <c r="F12" s="14">
        <f>D12*E12</f>
        <v>36000000</v>
      </c>
      <c r="G12" s="14">
        <f>F12/J$1</f>
        <v>10084.316087285359</v>
      </c>
      <c r="H12" s="14">
        <f t="shared" si="1"/>
        <v>11294.434017759602</v>
      </c>
      <c r="I12" s="5" t="s">
        <v>10</v>
      </c>
      <c r="K12" s="38"/>
      <c r="L12" s="14">
        <v>12000000</v>
      </c>
      <c r="M12" s="5">
        <v>3</v>
      </c>
      <c r="N12" s="25">
        <v>36000000</v>
      </c>
      <c r="O12" s="14">
        <f t="shared" si="2"/>
        <v>10084.316087285359</v>
      </c>
      <c r="P12" s="14">
        <f t="shared" si="3"/>
        <v>11294.434017759602</v>
      </c>
      <c r="Q12" s="54" t="s">
        <v>10</v>
      </c>
    </row>
    <row r="13" spans="1:17" x14ac:dyDescent="0.25">
      <c r="A13" s="37"/>
      <c r="B13" s="18" t="s">
        <v>11</v>
      </c>
      <c r="C13" s="14">
        <v>800000</v>
      </c>
      <c r="D13" s="14">
        <f t="shared" si="0"/>
        <v>960000</v>
      </c>
      <c r="E13" s="5">
        <v>3</v>
      </c>
      <c r="F13" s="14">
        <f>D13*E13</f>
        <v>2880000</v>
      </c>
      <c r="G13" s="14">
        <f>F13/J$1</f>
        <v>806.74528698282859</v>
      </c>
      <c r="H13" s="14">
        <f t="shared" si="1"/>
        <v>903.55472142076815</v>
      </c>
      <c r="I13" s="5" t="s">
        <v>10</v>
      </c>
      <c r="K13" s="38"/>
      <c r="L13" s="14">
        <v>960000</v>
      </c>
      <c r="M13" s="5">
        <v>3</v>
      </c>
      <c r="N13" s="25">
        <v>2880000</v>
      </c>
      <c r="O13" s="14">
        <f t="shared" si="2"/>
        <v>806.74528698282859</v>
      </c>
      <c r="P13" s="14">
        <f t="shared" si="3"/>
        <v>903.55472142076815</v>
      </c>
      <c r="Q13" s="54" t="s">
        <v>10</v>
      </c>
    </row>
    <row r="14" spans="1:17" x14ac:dyDescent="0.25">
      <c r="A14" s="37"/>
      <c r="B14" s="22" t="s">
        <v>12</v>
      </c>
      <c r="C14" s="23"/>
      <c r="D14" s="23"/>
      <c r="E14" s="24"/>
      <c r="F14" s="24"/>
      <c r="G14" s="24"/>
      <c r="H14" s="24"/>
      <c r="I14" s="24"/>
      <c r="K14" s="38"/>
      <c r="L14" s="24"/>
      <c r="M14" s="24"/>
      <c r="N14" s="39"/>
      <c r="O14" s="24"/>
      <c r="P14" s="24"/>
      <c r="Q14" s="53"/>
    </row>
    <row r="15" spans="1:17" ht="25.5" x14ac:dyDescent="0.25">
      <c r="A15" s="37"/>
      <c r="B15" s="18" t="s">
        <v>29</v>
      </c>
      <c r="C15" s="14">
        <v>8900000</v>
      </c>
      <c r="D15" s="14">
        <f t="shared" si="0"/>
        <v>10680000</v>
      </c>
      <c r="E15" s="4">
        <v>1</v>
      </c>
      <c r="F15" s="14">
        <f>D15*E15</f>
        <v>10680000</v>
      </c>
      <c r="G15" s="14">
        <f>F15/J$1</f>
        <v>2991.6804392279896</v>
      </c>
      <c r="H15" s="14">
        <f t="shared" si="1"/>
        <v>3350.6820919353486</v>
      </c>
      <c r="I15" s="5" t="s">
        <v>46</v>
      </c>
      <c r="K15" s="38"/>
      <c r="L15" s="14">
        <v>5340000</v>
      </c>
      <c r="M15" s="4">
        <v>1</v>
      </c>
      <c r="N15" s="14">
        <v>5340000</v>
      </c>
      <c r="O15" s="14">
        <f t="shared" si="2"/>
        <v>1495.8402196139948</v>
      </c>
      <c r="P15" s="14">
        <f t="shared" si="3"/>
        <v>1675.3410459676743</v>
      </c>
      <c r="Q15" s="52" t="s">
        <v>46</v>
      </c>
    </row>
    <row r="16" spans="1:17" x14ac:dyDescent="0.25">
      <c r="A16" s="37"/>
      <c r="B16" s="18" t="s">
        <v>13</v>
      </c>
      <c r="C16" s="14">
        <v>550000</v>
      </c>
      <c r="D16" s="14">
        <f t="shared" si="0"/>
        <v>660000</v>
      </c>
      <c r="E16" s="4">
        <v>3</v>
      </c>
      <c r="F16" s="14">
        <f>D16*E16</f>
        <v>1980000</v>
      </c>
      <c r="G16" s="14">
        <f>F16/J$1</f>
        <v>554.63738480069469</v>
      </c>
      <c r="H16" s="14">
        <f t="shared" si="1"/>
        <v>621.19387097677816</v>
      </c>
      <c r="I16" s="5" t="s">
        <v>3</v>
      </c>
      <c r="K16" s="38"/>
      <c r="L16" s="14">
        <v>660000</v>
      </c>
      <c r="M16" s="4">
        <v>3</v>
      </c>
      <c r="N16" s="25">
        <v>1980000</v>
      </c>
      <c r="O16" s="14">
        <f t="shared" si="2"/>
        <v>554.63738480069469</v>
      </c>
      <c r="P16" s="14">
        <f t="shared" si="3"/>
        <v>621.19387097677816</v>
      </c>
      <c r="Q16" s="54" t="s">
        <v>3</v>
      </c>
    </row>
    <row r="17" spans="1:17" x14ac:dyDescent="0.25">
      <c r="A17" s="37"/>
      <c r="B17" s="18" t="s">
        <v>14</v>
      </c>
      <c r="C17" s="14">
        <v>550000</v>
      </c>
      <c r="D17" s="14">
        <f t="shared" si="0"/>
        <v>660000</v>
      </c>
      <c r="E17" s="4">
        <v>3</v>
      </c>
      <c r="F17" s="14">
        <f>D17*E17</f>
        <v>1980000</v>
      </c>
      <c r="G17" s="14">
        <f>F17/J$1</f>
        <v>554.63738480069469</v>
      </c>
      <c r="H17" s="14">
        <f t="shared" si="1"/>
        <v>621.19387097677816</v>
      </c>
      <c r="I17" s="5" t="s">
        <v>3</v>
      </c>
      <c r="K17" s="38"/>
      <c r="L17" s="14">
        <v>660000</v>
      </c>
      <c r="M17" s="4">
        <v>3</v>
      </c>
      <c r="N17" s="25">
        <v>1980000</v>
      </c>
      <c r="O17" s="14">
        <f t="shared" si="2"/>
        <v>554.63738480069469</v>
      </c>
      <c r="P17" s="14">
        <f t="shared" si="3"/>
        <v>621.19387097677816</v>
      </c>
      <c r="Q17" s="54" t="s">
        <v>3</v>
      </c>
    </row>
    <row r="18" spans="1:17" x14ac:dyDescent="0.25">
      <c r="A18" s="37"/>
      <c r="B18" s="18" t="s">
        <v>15</v>
      </c>
      <c r="C18" s="14">
        <v>525000</v>
      </c>
      <c r="D18" s="14">
        <f t="shared" si="0"/>
        <v>630000</v>
      </c>
      <c r="E18" s="4">
        <v>3</v>
      </c>
      <c r="F18" s="14">
        <f>D18*E18</f>
        <v>1890000</v>
      </c>
      <c r="G18" s="14">
        <f>F18/J$1</f>
        <v>529.42659458248124</v>
      </c>
      <c r="H18" s="14">
        <f t="shared" si="1"/>
        <v>592.95778593237901</v>
      </c>
      <c r="I18" s="5" t="s">
        <v>3</v>
      </c>
      <c r="K18" s="38"/>
      <c r="L18" s="14">
        <v>630000</v>
      </c>
      <c r="M18" s="4">
        <v>3</v>
      </c>
      <c r="N18" s="25">
        <v>1890000</v>
      </c>
      <c r="O18" s="14">
        <f t="shared" si="2"/>
        <v>529.42659458248124</v>
      </c>
      <c r="P18" s="14">
        <f t="shared" si="3"/>
        <v>592.95778593237901</v>
      </c>
      <c r="Q18" s="54" t="s">
        <v>3</v>
      </c>
    </row>
    <row r="19" spans="1:17" x14ac:dyDescent="0.25">
      <c r="A19" s="37"/>
      <c r="B19" s="22" t="s">
        <v>48</v>
      </c>
      <c r="C19" s="23"/>
      <c r="D19" s="23"/>
      <c r="E19" s="24"/>
      <c r="F19" s="24"/>
      <c r="G19" s="24"/>
      <c r="H19" s="24"/>
      <c r="I19" s="24"/>
      <c r="K19" s="38"/>
      <c r="L19" s="23"/>
      <c r="M19" s="24"/>
      <c r="N19" s="24"/>
      <c r="O19" s="24"/>
      <c r="P19" s="24"/>
      <c r="Q19" s="53"/>
    </row>
    <row r="20" spans="1:17" x14ac:dyDescent="0.25">
      <c r="A20" s="37"/>
      <c r="B20" s="18" t="s">
        <v>47</v>
      </c>
      <c r="C20" s="14"/>
      <c r="D20" s="14">
        <v>6140000</v>
      </c>
      <c r="E20" s="4">
        <v>1</v>
      </c>
      <c r="F20" s="14">
        <f>+D20*E20</f>
        <v>6140000</v>
      </c>
      <c r="G20" s="14">
        <f>F20/J$1</f>
        <v>1719.9361326647804</v>
      </c>
      <c r="H20" s="14">
        <f t="shared" si="1"/>
        <v>1926.3284685845542</v>
      </c>
      <c r="I20" s="32" t="s">
        <v>21</v>
      </c>
      <c r="K20" s="38"/>
      <c r="L20" s="14">
        <v>6140000</v>
      </c>
      <c r="M20" s="4">
        <v>1</v>
      </c>
      <c r="N20" s="14">
        <f>+L20*M20</f>
        <v>6140000</v>
      </c>
      <c r="O20" s="14"/>
      <c r="P20" s="14">
        <v>1926.3284685845542</v>
      </c>
      <c r="Q20" s="55" t="s">
        <v>21</v>
      </c>
    </row>
    <row r="21" spans="1:17" x14ac:dyDescent="0.25">
      <c r="A21" s="37"/>
      <c r="B21" s="18" t="s">
        <v>16</v>
      </c>
      <c r="C21" s="14">
        <v>5000000</v>
      </c>
      <c r="D21" s="14">
        <f t="shared" ref="D21" si="4">C21*110%</f>
        <v>5500000</v>
      </c>
      <c r="E21" s="4">
        <v>1</v>
      </c>
      <c r="F21" s="14">
        <f>D21*E21</f>
        <v>5500000</v>
      </c>
      <c r="G21" s="14">
        <f>F21/J$1</f>
        <v>1540.6594022241518</v>
      </c>
      <c r="H21" s="14">
        <f t="shared" si="1"/>
        <v>1725.5385304910501</v>
      </c>
      <c r="I21" s="5" t="s">
        <v>46</v>
      </c>
      <c r="K21" s="38"/>
      <c r="L21" s="14">
        <v>5500000</v>
      </c>
      <c r="M21" s="4">
        <v>1</v>
      </c>
      <c r="N21" s="14">
        <v>5500000</v>
      </c>
      <c r="O21" s="14">
        <v>1540.6594022241518</v>
      </c>
      <c r="P21" s="14">
        <v>1725.5385304910501</v>
      </c>
      <c r="Q21" s="52" t="s">
        <v>46</v>
      </c>
    </row>
    <row r="22" spans="1:17" x14ac:dyDescent="0.25">
      <c r="A22" s="37"/>
      <c r="B22" s="18" t="s">
        <v>45</v>
      </c>
      <c r="C22" s="14">
        <v>9746632</v>
      </c>
      <c r="D22" s="14">
        <v>6578977</v>
      </c>
      <c r="E22" s="4">
        <v>1</v>
      </c>
      <c r="F22" s="14">
        <f>D22*E22</f>
        <v>6578977</v>
      </c>
      <c r="G22" s="14">
        <f>F22/J$1</f>
        <v>1842.902322193899</v>
      </c>
      <c r="H22" s="14">
        <f t="shared" si="1"/>
        <v>2064.050600857167</v>
      </c>
      <c r="I22" s="5" t="s">
        <v>7</v>
      </c>
      <c r="K22" s="38"/>
      <c r="L22" s="14"/>
      <c r="M22" s="4"/>
      <c r="N22" s="25"/>
      <c r="O22" s="14">
        <f t="shared" si="2"/>
        <v>0</v>
      </c>
      <c r="P22" s="14"/>
      <c r="Q22" s="54"/>
    </row>
    <row r="23" spans="1:17" x14ac:dyDescent="0.25">
      <c r="A23" s="37"/>
      <c r="B23" s="26" t="s">
        <v>33</v>
      </c>
      <c r="C23" s="27"/>
      <c r="D23" s="27"/>
      <c r="E23" s="28"/>
      <c r="F23" s="27"/>
      <c r="G23" s="27"/>
      <c r="H23" s="27"/>
      <c r="I23" s="28"/>
      <c r="K23" s="38"/>
      <c r="L23" s="27"/>
      <c r="M23" s="28"/>
      <c r="N23" s="27"/>
      <c r="O23" s="27"/>
      <c r="P23" s="27"/>
      <c r="Q23" s="56"/>
    </row>
    <row r="24" spans="1:17" x14ac:dyDescent="0.25">
      <c r="A24" s="37"/>
      <c r="B24" s="29" t="s">
        <v>34</v>
      </c>
      <c r="C24" s="30">
        <v>1500000</v>
      </c>
      <c r="D24" s="30">
        <v>1500000</v>
      </c>
      <c r="E24" s="31">
        <v>3</v>
      </c>
      <c r="F24" s="30">
        <f>C24*E24</f>
        <v>4500000</v>
      </c>
      <c r="G24" s="30">
        <f>F24/J$1</f>
        <v>1260.5395109106698</v>
      </c>
      <c r="H24" s="30">
        <f t="shared" si="1"/>
        <v>1411.8042522199503</v>
      </c>
      <c r="I24" s="32" t="s">
        <v>18</v>
      </c>
      <c r="K24" s="38"/>
      <c r="L24" s="30">
        <v>1500000</v>
      </c>
      <c r="M24" s="31">
        <v>3</v>
      </c>
      <c r="N24" s="40">
        <v>4500000</v>
      </c>
      <c r="O24" s="30">
        <f t="shared" si="2"/>
        <v>1260.5395109106698</v>
      </c>
      <c r="P24" s="30">
        <f t="shared" si="3"/>
        <v>1411.8042522199503</v>
      </c>
      <c r="Q24" s="57" t="s">
        <v>18</v>
      </c>
    </row>
    <row r="25" spans="1:17" x14ac:dyDescent="0.25">
      <c r="A25" s="37"/>
      <c r="B25" s="29" t="s">
        <v>17</v>
      </c>
      <c r="C25" s="30">
        <v>1400000</v>
      </c>
      <c r="D25" s="30">
        <v>1400000</v>
      </c>
      <c r="E25" s="31">
        <v>3</v>
      </c>
      <c r="F25" s="30">
        <f>C25*E25</f>
        <v>4200000</v>
      </c>
      <c r="G25" s="30">
        <f>F25/J$1</f>
        <v>1176.5035435166251</v>
      </c>
      <c r="H25" s="30">
        <f t="shared" si="1"/>
        <v>1317.6839687386203</v>
      </c>
      <c r="I25" s="32" t="s">
        <v>18</v>
      </c>
      <c r="K25" s="38"/>
      <c r="L25" s="30">
        <v>1400000</v>
      </c>
      <c r="M25" s="31">
        <v>3</v>
      </c>
      <c r="N25" s="40">
        <v>4200000</v>
      </c>
      <c r="O25" s="30">
        <f t="shared" si="2"/>
        <v>1176.5035435166251</v>
      </c>
      <c r="P25" s="30">
        <f t="shared" si="3"/>
        <v>1317.6839687386203</v>
      </c>
      <c r="Q25" s="57" t="s">
        <v>18</v>
      </c>
    </row>
    <row r="26" spans="1:17" x14ac:dyDescent="0.25">
      <c r="A26" s="37"/>
      <c r="B26" s="29" t="s">
        <v>19</v>
      </c>
      <c r="C26" s="30">
        <v>1000000</v>
      </c>
      <c r="D26" s="30">
        <v>1000000</v>
      </c>
      <c r="E26" s="31">
        <v>3</v>
      </c>
      <c r="F26" s="30">
        <f>C26*E26</f>
        <v>3000000</v>
      </c>
      <c r="G26" s="30">
        <f>F26/J$1</f>
        <v>840.35967394044644</v>
      </c>
      <c r="H26" s="30">
        <f t="shared" si="1"/>
        <v>941.20283481330011</v>
      </c>
      <c r="I26" s="32" t="s">
        <v>18</v>
      </c>
      <c r="K26" s="38"/>
      <c r="L26" s="30">
        <v>1000000</v>
      </c>
      <c r="M26" s="31">
        <v>3</v>
      </c>
      <c r="N26" s="40">
        <v>3000000</v>
      </c>
      <c r="O26" s="30">
        <f t="shared" si="2"/>
        <v>840.35967394044644</v>
      </c>
      <c r="P26" s="30">
        <f t="shared" si="3"/>
        <v>941.20283481330011</v>
      </c>
      <c r="Q26" s="57" t="s">
        <v>18</v>
      </c>
    </row>
    <row r="27" spans="1:17" x14ac:dyDescent="0.25">
      <c r="A27" s="37"/>
      <c r="B27" s="33" t="s">
        <v>35</v>
      </c>
      <c r="C27" s="34"/>
      <c r="D27" s="34"/>
      <c r="E27" s="35"/>
      <c r="F27" s="34"/>
      <c r="G27" s="34"/>
      <c r="H27" s="34"/>
      <c r="I27" s="36"/>
      <c r="K27" s="38"/>
      <c r="L27" s="34"/>
      <c r="M27" s="35"/>
      <c r="N27" s="41"/>
      <c r="O27" s="34"/>
      <c r="P27" s="34"/>
      <c r="Q27" s="59"/>
    </row>
    <row r="28" spans="1:17" x14ac:dyDescent="0.25">
      <c r="A28" s="37"/>
      <c r="B28" s="29" t="s">
        <v>20</v>
      </c>
      <c r="C28" s="30">
        <v>2500000</v>
      </c>
      <c r="D28" s="30">
        <v>2500000</v>
      </c>
      <c r="E28" s="31">
        <v>1</v>
      </c>
      <c r="F28" s="30">
        <f>C28*E28</f>
        <v>2500000</v>
      </c>
      <c r="G28" s="30">
        <f>F28/J$1</f>
        <v>700.29972828370546</v>
      </c>
      <c r="H28" s="30">
        <f t="shared" si="1"/>
        <v>784.33569567775021</v>
      </c>
      <c r="I28" s="32" t="s">
        <v>21</v>
      </c>
      <c r="K28" s="38"/>
      <c r="L28" s="30"/>
      <c r="M28" s="31"/>
      <c r="N28" s="40"/>
      <c r="O28" s="30">
        <f t="shared" si="2"/>
        <v>0</v>
      </c>
      <c r="P28" s="30"/>
      <c r="Q28" s="57"/>
    </row>
    <row r="29" spans="1:17" x14ac:dyDescent="0.25">
      <c r="A29" s="37"/>
      <c r="B29" s="29" t="s">
        <v>22</v>
      </c>
      <c r="C29" s="30">
        <v>1800000</v>
      </c>
      <c r="D29" s="30">
        <v>1800000</v>
      </c>
      <c r="E29" s="31">
        <v>1</v>
      </c>
      <c r="F29" s="30">
        <f>C29*E29</f>
        <v>1800000</v>
      </c>
      <c r="G29" s="30">
        <f>F29/J$1</f>
        <v>504.21580436426791</v>
      </c>
      <c r="H29" s="30">
        <f t="shared" si="1"/>
        <v>564.72170088798009</v>
      </c>
      <c r="I29" s="32" t="s">
        <v>21</v>
      </c>
      <c r="K29" s="38"/>
      <c r="L29" s="30"/>
      <c r="M29" s="31"/>
      <c r="N29" s="40"/>
      <c r="O29" s="30">
        <f t="shared" si="2"/>
        <v>0</v>
      </c>
      <c r="P29" s="30"/>
      <c r="Q29" s="57"/>
    </row>
    <row r="30" spans="1:17" x14ac:dyDescent="0.25">
      <c r="A30" s="37"/>
      <c r="B30" s="29" t="s">
        <v>23</v>
      </c>
      <c r="C30" s="30">
        <v>550000</v>
      </c>
      <c r="D30" s="30">
        <v>550000</v>
      </c>
      <c r="E30" s="31">
        <v>1</v>
      </c>
      <c r="F30" s="30">
        <f>C30*E30</f>
        <v>550000</v>
      </c>
      <c r="G30" s="30">
        <f>F30/J$1</f>
        <v>154.06594022241518</v>
      </c>
      <c r="H30" s="30">
        <f t="shared" si="1"/>
        <v>172.55385304910502</v>
      </c>
      <c r="I30" s="32" t="s">
        <v>21</v>
      </c>
      <c r="K30" s="38"/>
      <c r="L30" s="40"/>
      <c r="M30" s="31"/>
      <c r="N30" s="40"/>
      <c r="O30" s="30">
        <f t="shared" si="2"/>
        <v>0</v>
      </c>
      <c r="P30" s="30"/>
      <c r="Q30" s="57"/>
    </row>
    <row r="31" spans="1:17" x14ac:dyDescent="0.25">
      <c r="A31" s="37"/>
      <c r="B31" s="29" t="s">
        <v>24</v>
      </c>
      <c r="C31" s="30">
        <v>450000</v>
      </c>
      <c r="D31" s="30">
        <v>450000</v>
      </c>
      <c r="E31" s="31">
        <v>1</v>
      </c>
      <c r="F31" s="30">
        <f>C31*E31</f>
        <v>450000</v>
      </c>
      <c r="G31" s="30">
        <f>F31/J$1</f>
        <v>126.05395109106698</v>
      </c>
      <c r="H31" s="30">
        <f t="shared" si="1"/>
        <v>141.18042522199502</v>
      </c>
      <c r="I31" s="32" t="s">
        <v>21</v>
      </c>
      <c r="K31" s="38"/>
      <c r="L31" s="30"/>
      <c r="M31" s="31"/>
      <c r="N31" s="40"/>
      <c r="O31" s="30">
        <f t="shared" si="2"/>
        <v>0</v>
      </c>
      <c r="P31" s="30"/>
      <c r="Q31" s="57"/>
    </row>
    <row r="32" spans="1:17" x14ac:dyDescent="0.25">
      <c r="A32" s="37"/>
      <c r="B32" s="29" t="s">
        <v>25</v>
      </c>
      <c r="C32" s="30">
        <f>24900+59900+72000</f>
        <v>156800</v>
      </c>
      <c r="D32" s="30">
        <f>24900+59900+72000</f>
        <v>156800</v>
      </c>
      <c r="E32" s="31">
        <v>3</v>
      </c>
      <c r="F32" s="30">
        <f>C32*E32</f>
        <v>470400</v>
      </c>
      <c r="G32" s="30">
        <f>F32/J$1</f>
        <v>131.768396873862</v>
      </c>
      <c r="H32" s="30">
        <f t="shared" si="1"/>
        <v>147.58060449872545</v>
      </c>
      <c r="I32" s="32" t="s">
        <v>26</v>
      </c>
      <c r="K32" s="38"/>
      <c r="L32" s="30">
        <v>156800</v>
      </c>
      <c r="M32" s="31">
        <v>3</v>
      </c>
      <c r="N32" s="40">
        <v>470400</v>
      </c>
      <c r="O32" s="30">
        <f t="shared" si="2"/>
        <v>131.768396873862</v>
      </c>
      <c r="P32" s="30">
        <f t="shared" si="3"/>
        <v>147.58060449872545</v>
      </c>
      <c r="Q32" s="57" t="s">
        <v>26</v>
      </c>
    </row>
    <row r="33" spans="1:17" ht="51" x14ac:dyDescent="0.25">
      <c r="A33" s="37"/>
      <c r="B33" s="44" t="s">
        <v>54</v>
      </c>
      <c r="C33" s="46"/>
      <c r="D33" s="1"/>
      <c r="E33" s="15" t="s">
        <v>40</v>
      </c>
      <c r="F33" s="20">
        <f>SUM(F2:F32)</f>
        <v>150274377</v>
      </c>
      <c r="G33" s="14"/>
      <c r="H33" s="15">
        <f>SUM(H2:H32)</f>
        <v>47146.223210734213</v>
      </c>
      <c r="I33" s="5"/>
      <c r="K33" s="38"/>
      <c r="L33" s="15" t="s">
        <v>42</v>
      </c>
      <c r="M33" s="4"/>
      <c r="N33" s="20">
        <f t="shared" ref="N33:O33" si="5">SUM(N2:N32)</f>
        <v>127295400</v>
      </c>
      <c r="O33" s="20" t="e">
        <f t="shared" si="5"/>
        <v>#DIV/0!</v>
      </c>
      <c r="P33" s="20">
        <f>SUM(P2:P32)</f>
        <v>39936.930446230996</v>
      </c>
      <c r="Q33" s="14"/>
    </row>
    <row r="34" spans="1:17" s="11" customFormat="1" ht="21" x14ac:dyDescent="0.35">
      <c r="A34" s="42"/>
      <c r="B34" s="42"/>
      <c r="C34" s="42"/>
      <c r="D34" s="51" t="s">
        <v>43</v>
      </c>
      <c r="E34" s="51"/>
      <c r="F34" s="42" t="s">
        <v>44</v>
      </c>
      <c r="G34" s="42"/>
      <c r="H34" s="43">
        <f>H33+P33</f>
        <v>87083.153656965209</v>
      </c>
      <c r="I34" s="42"/>
      <c r="J34" s="42"/>
      <c r="K34" s="42"/>
      <c r="L34" s="42"/>
      <c r="M34" s="42"/>
      <c r="N34" s="42"/>
      <c r="O34" s="42"/>
      <c r="P34" s="42"/>
      <c r="Q34" s="42"/>
    </row>
    <row r="35" spans="1:17" ht="32.1" customHeight="1" x14ac:dyDescent="0.25">
      <c r="B35" s="17"/>
      <c r="C35" s="20"/>
      <c r="D35" s="20"/>
      <c r="E35" s="20"/>
      <c r="F35" s="45"/>
      <c r="G35" s="20"/>
      <c r="H35" s="20"/>
      <c r="I35" s="20"/>
    </row>
    <row r="36" spans="1:17" ht="21" customHeight="1" x14ac:dyDescent="0.25">
      <c r="B36" s="19"/>
      <c r="C36" s="21"/>
      <c r="D36" s="21"/>
      <c r="E36" s="12"/>
      <c r="F36" s="12"/>
      <c r="I36" s="12"/>
    </row>
    <row r="37" spans="1:17" ht="24" customHeight="1" x14ac:dyDescent="0.25">
      <c r="B37" s="19"/>
      <c r="C37" s="6"/>
      <c r="D37" s="6"/>
      <c r="E37" s="6"/>
      <c r="F37" s="6"/>
      <c r="I37" s="6"/>
    </row>
    <row r="38" spans="1:17" x14ac:dyDescent="0.25">
      <c r="B38" s="7"/>
      <c r="C38" s="8"/>
      <c r="D38" s="8"/>
      <c r="E38" s="9"/>
      <c r="F38" s="10"/>
      <c r="I38" s="9"/>
    </row>
  </sheetData>
  <mergeCells count="3">
    <mergeCell ref="A1:A33"/>
    <mergeCell ref="K1:K33"/>
    <mergeCell ref="D34:E34"/>
  </mergeCells>
  <pageMargins left="0.25" right="0.25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CE98-9956-4136-B5DB-30B36FCDDC28}">
  <dimension ref="A1:Q22"/>
  <sheetViews>
    <sheetView workbookViewId="0">
      <selection activeCell="B25" sqref="B25"/>
    </sheetView>
  </sheetViews>
  <sheetFormatPr baseColWidth="10" defaultColWidth="8.7109375" defaultRowHeight="15" x14ac:dyDescent="0.25"/>
  <cols>
    <col min="1" max="1" width="5.28515625" style="1" customWidth="1"/>
    <col min="2" max="2" width="69.7109375" style="1" customWidth="1"/>
    <col min="3" max="3" width="13" style="11" hidden="1" customWidth="1"/>
    <col min="4" max="4" width="13.42578125" style="11" bestFit="1" customWidth="1"/>
    <col min="5" max="5" width="13.85546875" style="2" bestFit="1" customWidth="1"/>
    <col min="6" max="6" width="13.85546875" style="3" customWidth="1"/>
    <col min="7" max="7" width="10.140625" style="1" customWidth="1"/>
    <col min="8" max="8" width="13.85546875" style="1" bestFit="1" customWidth="1"/>
    <col min="9" max="9" width="13.5703125" style="2" bestFit="1" customWidth="1"/>
    <col min="10" max="10" width="8.7109375" style="1" hidden="1" customWidth="1"/>
    <col min="11" max="11" width="4.85546875" style="1" customWidth="1"/>
    <col min="12" max="12" width="13.42578125" style="1" bestFit="1" customWidth="1"/>
    <col min="13" max="13" width="8.7109375" style="1"/>
    <col min="14" max="14" width="13.42578125" style="1" bestFit="1" customWidth="1"/>
    <col min="15" max="15" width="12.85546875" style="1" hidden="1" customWidth="1"/>
    <col min="16" max="16" width="9.7109375" style="1" bestFit="1" customWidth="1"/>
    <col min="17" max="17" width="14.7109375" style="1" bestFit="1" customWidth="1"/>
    <col min="18" max="16384" width="8.7109375" style="1"/>
  </cols>
  <sheetData>
    <row r="1" spans="1:17" ht="42" x14ac:dyDescent="0.25">
      <c r="A1" s="37" t="s">
        <v>40</v>
      </c>
      <c r="B1" s="16" t="s">
        <v>30</v>
      </c>
      <c r="C1" s="16" t="s">
        <v>0</v>
      </c>
      <c r="D1" s="16" t="s">
        <v>36</v>
      </c>
      <c r="E1" s="16" t="s">
        <v>37</v>
      </c>
      <c r="F1" s="16" t="s">
        <v>38</v>
      </c>
      <c r="G1" s="16" t="s">
        <v>39</v>
      </c>
      <c r="H1" s="16" t="s">
        <v>41</v>
      </c>
      <c r="I1" s="16" t="s">
        <v>31</v>
      </c>
      <c r="J1" s="13">
        <v>3569.9</v>
      </c>
      <c r="K1" s="38" t="s">
        <v>42</v>
      </c>
      <c r="L1" s="16" t="s">
        <v>36</v>
      </c>
      <c r="M1" s="16" t="s">
        <v>37</v>
      </c>
      <c r="N1" s="16" t="s">
        <v>38</v>
      </c>
      <c r="O1" s="16" t="s">
        <v>39</v>
      </c>
      <c r="P1" s="16" t="s">
        <v>41</v>
      </c>
      <c r="Q1" s="16" t="s">
        <v>31</v>
      </c>
    </row>
    <row r="2" spans="1:17" ht="25.5" x14ac:dyDescent="0.25">
      <c r="A2" s="37"/>
      <c r="B2" s="18" t="s">
        <v>32</v>
      </c>
      <c r="C2" s="14">
        <v>9500000</v>
      </c>
      <c r="D2" s="14">
        <f>C2*120%</f>
        <v>11400000</v>
      </c>
      <c r="E2" s="4">
        <v>3</v>
      </c>
      <c r="F2" s="14">
        <f>D2*E2</f>
        <v>34200000</v>
      </c>
      <c r="G2" s="14">
        <f>F2/J$1</f>
        <v>9580.1002829210902</v>
      </c>
      <c r="H2" s="14">
        <f>G2*J$2</f>
        <v>10729.712316871623</v>
      </c>
      <c r="I2" s="5" t="s">
        <v>10</v>
      </c>
      <c r="J2" s="13">
        <v>1.1200000000000001</v>
      </c>
      <c r="K2" s="38"/>
      <c r="L2" s="14">
        <v>11400000</v>
      </c>
      <c r="M2" s="4">
        <v>3</v>
      </c>
      <c r="N2" s="25">
        <v>34200000</v>
      </c>
      <c r="O2" s="14">
        <f>N2/J$1</f>
        <v>9580.1002829210902</v>
      </c>
      <c r="P2" s="14">
        <f>O2*J$2</f>
        <v>10729.712316871623</v>
      </c>
      <c r="Q2" s="52" t="s">
        <v>10</v>
      </c>
    </row>
    <row r="3" spans="1:17" x14ac:dyDescent="0.25">
      <c r="A3" s="37"/>
      <c r="B3" s="22" t="s">
        <v>9</v>
      </c>
      <c r="C3" s="23"/>
      <c r="D3" s="23"/>
      <c r="E3" s="24"/>
      <c r="F3" s="24"/>
      <c r="G3" s="24"/>
      <c r="H3" s="24"/>
      <c r="I3" s="24"/>
      <c r="K3" s="38"/>
      <c r="L3" s="24"/>
      <c r="M3" s="24"/>
      <c r="N3" s="39"/>
      <c r="O3" s="24"/>
      <c r="P3" s="24"/>
      <c r="Q3" s="53"/>
    </row>
    <row r="4" spans="1:17" ht="25.5" x14ac:dyDescent="0.25">
      <c r="A4" s="37"/>
      <c r="B4" s="18" t="s">
        <v>28</v>
      </c>
      <c r="C4" s="14">
        <v>10000000</v>
      </c>
      <c r="D4" s="14">
        <f t="shared" ref="D4:D10" si="0">C4*120%</f>
        <v>12000000</v>
      </c>
      <c r="E4" s="5">
        <v>3</v>
      </c>
      <c r="F4" s="14">
        <f>D4*E4</f>
        <v>36000000</v>
      </c>
      <c r="G4" s="14">
        <f>F4/J$1</f>
        <v>10084.316087285359</v>
      </c>
      <c r="H4" s="14">
        <f t="shared" ref="H4:H16" si="1">G4*J$2</f>
        <v>11294.434017759602</v>
      </c>
      <c r="I4" s="5" t="s">
        <v>10</v>
      </c>
      <c r="K4" s="38"/>
      <c r="L4" s="14">
        <v>12000000</v>
      </c>
      <c r="M4" s="5">
        <v>3</v>
      </c>
      <c r="N4" s="25">
        <v>36000000</v>
      </c>
      <c r="O4" s="14">
        <f t="shared" ref="O4:O16" si="2">N4/J$1</f>
        <v>10084.316087285359</v>
      </c>
      <c r="P4" s="14">
        <f t="shared" ref="P4:P16" si="3">O4*J$2</f>
        <v>11294.434017759602</v>
      </c>
      <c r="Q4" s="54" t="s">
        <v>10</v>
      </c>
    </row>
    <row r="5" spans="1:17" x14ac:dyDescent="0.25">
      <c r="A5" s="37"/>
      <c r="B5" s="18" t="s">
        <v>11</v>
      </c>
      <c r="C5" s="14">
        <v>800000</v>
      </c>
      <c r="D5" s="14">
        <f t="shared" si="0"/>
        <v>960000</v>
      </c>
      <c r="E5" s="5">
        <v>3</v>
      </c>
      <c r="F5" s="14">
        <f>D5*E5</f>
        <v>2880000</v>
      </c>
      <c r="G5" s="14">
        <f>F5/J$1</f>
        <v>806.74528698282859</v>
      </c>
      <c r="H5" s="14">
        <f t="shared" si="1"/>
        <v>903.55472142076815</v>
      </c>
      <c r="I5" s="5" t="s">
        <v>10</v>
      </c>
      <c r="K5" s="38"/>
      <c r="L5" s="14">
        <v>960000</v>
      </c>
      <c r="M5" s="5">
        <v>3</v>
      </c>
      <c r="N5" s="25">
        <v>2880000</v>
      </c>
      <c r="O5" s="14">
        <f t="shared" si="2"/>
        <v>806.74528698282859</v>
      </c>
      <c r="P5" s="14">
        <f t="shared" si="3"/>
        <v>903.55472142076815</v>
      </c>
      <c r="Q5" s="54" t="s">
        <v>10</v>
      </c>
    </row>
    <row r="6" spans="1:17" x14ac:dyDescent="0.25">
      <c r="A6" s="37"/>
      <c r="B6" s="22" t="s">
        <v>12</v>
      </c>
      <c r="C6" s="23"/>
      <c r="D6" s="23"/>
      <c r="E6" s="24"/>
      <c r="F6" s="24"/>
      <c r="G6" s="24"/>
      <c r="H6" s="24"/>
      <c r="I6" s="24"/>
      <c r="K6" s="38"/>
      <c r="L6" s="24"/>
      <c r="M6" s="24"/>
      <c r="N6" s="39"/>
      <c r="O6" s="24"/>
      <c r="P6" s="24"/>
      <c r="Q6" s="53"/>
    </row>
    <row r="7" spans="1:17" ht="25.5" x14ac:dyDescent="0.25">
      <c r="A7" s="37"/>
      <c r="B7" s="18" t="s">
        <v>29</v>
      </c>
      <c r="C7" s="14">
        <v>8900000</v>
      </c>
      <c r="D7" s="14">
        <f t="shared" si="0"/>
        <v>10680000</v>
      </c>
      <c r="E7" s="4">
        <v>1</v>
      </c>
      <c r="F7" s="14">
        <f>D7*E7</f>
        <v>10680000</v>
      </c>
      <c r="G7" s="14">
        <f>F7/J$1</f>
        <v>2991.6804392279896</v>
      </c>
      <c r="H7" s="14">
        <f t="shared" si="1"/>
        <v>3350.6820919353486</v>
      </c>
      <c r="I7" s="5" t="s">
        <v>46</v>
      </c>
      <c r="K7" s="38"/>
      <c r="L7" s="14">
        <v>5340000</v>
      </c>
      <c r="M7" s="4">
        <v>1</v>
      </c>
      <c r="N7" s="14">
        <v>5340000</v>
      </c>
      <c r="O7" s="14">
        <f t="shared" si="2"/>
        <v>1495.8402196139948</v>
      </c>
      <c r="P7" s="14">
        <f t="shared" si="3"/>
        <v>1675.3410459676743</v>
      </c>
      <c r="Q7" s="52" t="s">
        <v>46</v>
      </c>
    </row>
    <row r="8" spans="1:17" x14ac:dyDescent="0.25">
      <c r="A8" s="37"/>
      <c r="B8" s="18" t="s">
        <v>13</v>
      </c>
      <c r="C8" s="14">
        <v>550000</v>
      </c>
      <c r="D8" s="14">
        <f t="shared" si="0"/>
        <v>660000</v>
      </c>
      <c r="E8" s="4">
        <v>3</v>
      </c>
      <c r="F8" s="14">
        <f>D8*E8</f>
        <v>1980000</v>
      </c>
      <c r="G8" s="14">
        <f>F8/J$1</f>
        <v>554.63738480069469</v>
      </c>
      <c r="H8" s="14">
        <f t="shared" si="1"/>
        <v>621.19387097677816</v>
      </c>
      <c r="I8" s="5" t="s">
        <v>3</v>
      </c>
      <c r="K8" s="38"/>
      <c r="L8" s="14">
        <v>660000</v>
      </c>
      <c r="M8" s="4">
        <v>3</v>
      </c>
      <c r="N8" s="25">
        <v>1980000</v>
      </c>
      <c r="O8" s="14">
        <f t="shared" si="2"/>
        <v>554.63738480069469</v>
      </c>
      <c r="P8" s="14">
        <f t="shared" si="3"/>
        <v>621.19387097677816</v>
      </c>
      <c r="Q8" s="54" t="s">
        <v>3</v>
      </c>
    </row>
    <row r="9" spans="1:17" x14ac:dyDescent="0.25">
      <c r="A9" s="37"/>
      <c r="B9" s="18" t="s">
        <v>14</v>
      </c>
      <c r="C9" s="14">
        <v>550000</v>
      </c>
      <c r="D9" s="14">
        <f t="shared" si="0"/>
        <v>660000</v>
      </c>
      <c r="E9" s="4">
        <v>3</v>
      </c>
      <c r="F9" s="14">
        <f>D9*E9</f>
        <v>1980000</v>
      </c>
      <c r="G9" s="14">
        <f>F9/J$1</f>
        <v>554.63738480069469</v>
      </c>
      <c r="H9" s="14">
        <f t="shared" si="1"/>
        <v>621.19387097677816</v>
      </c>
      <c r="I9" s="5" t="s">
        <v>3</v>
      </c>
      <c r="K9" s="38"/>
      <c r="L9" s="14">
        <v>660000</v>
      </c>
      <c r="M9" s="4">
        <v>3</v>
      </c>
      <c r="N9" s="25">
        <v>1980000</v>
      </c>
      <c r="O9" s="14">
        <f t="shared" si="2"/>
        <v>554.63738480069469</v>
      </c>
      <c r="P9" s="14">
        <f t="shared" si="3"/>
        <v>621.19387097677816</v>
      </c>
      <c r="Q9" s="54" t="s">
        <v>3</v>
      </c>
    </row>
    <row r="10" spans="1:17" x14ac:dyDescent="0.25">
      <c r="A10" s="37"/>
      <c r="B10" s="18" t="s">
        <v>15</v>
      </c>
      <c r="C10" s="14">
        <v>525000</v>
      </c>
      <c r="D10" s="14">
        <f t="shared" si="0"/>
        <v>630000</v>
      </c>
      <c r="E10" s="4">
        <v>3</v>
      </c>
      <c r="F10" s="14">
        <f>D10*E10</f>
        <v>1890000</v>
      </c>
      <c r="G10" s="14">
        <f>F10/J$1</f>
        <v>529.42659458248124</v>
      </c>
      <c r="H10" s="14">
        <f t="shared" si="1"/>
        <v>592.95778593237901</v>
      </c>
      <c r="I10" s="5" t="s">
        <v>3</v>
      </c>
      <c r="K10" s="38"/>
      <c r="L10" s="14">
        <v>630000</v>
      </c>
      <c r="M10" s="4">
        <v>3</v>
      </c>
      <c r="N10" s="25">
        <v>1890000</v>
      </c>
      <c r="O10" s="14">
        <f t="shared" si="2"/>
        <v>529.42659458248124</v>
      </c>
      <c r="P10" s="14">
        <f t="shared" si="3"/>
        <v>592.95778593237901</v>
      </c>
      <c r="Q10" s="54" t="s">
        <v>3</v>
      </c>
    </row>
    <row r="11" spans="1:17" x14ac:dyDescent="0.25">
      <c r="A11" s="37"/>
      <c r="B11" s="22" t="s">
        <v>48</v>
      </c>
      <c r="C11" s="23"/>
      <c r="D11" s="23"/>
      <c r="E11" s="24"/>
      <c r="F11" s="24"/>
      <c r="G11" s="24"/>
      <c r="H11" s="24"/>
      <c r="I11" s="24"/>
      <c r="K11" s="38"/>
      <c r="L11" s="23"/>
      <c r="M11" s="24"/>
      <c r="N11" s="24"/>
      <c r="O11" s="24"/>
      <c r="P11" s="24"/>
      <c r="Q11" s="53"/>
    </row>
    <row r="12" spans="1:17" x14ac:dyDescent="0.25">
      <c r="A12" s="37"/>
      <c r="B12" s="18" t="s">
        <v>47</v>
      </c>
      <c r="C12" s="14"/>
      <c r="D12" s="14">
        <v>6140000</v>
      </c>
      <c r="E12" s="4">
        <v>1</v>
      </c>
      <c r="F12" s="14">
        <f>+D12*E12</f>
        <v>6140000</v>
      </c>
      <c r="G12" s="14">
        <f>F12/J$1</f>
        <v>1719.9361326647804</v>
      </c>
      <c r="H12" s="14">
        <f t="shared" si="1"/>
        <v>1926.3284685845542</v>
      </c>
      <c r="I12" s="32" t="s">
        <v>21</v>
      </c>
      <c r="K12" s="38"/>
      <c r="L12" s="14">
        <v>6140000</v>
      </c>
      <c r="M12" s="4">
        <v>1</v>
      </c>
      <c r="N12" s="14">
        <f>+L12*M12</f>
        <v>6140000</v>
      </c>
      <c r="O12" s="14"/>
      <c r="P12" s="14">
        <v>1926.3284685845542</v>
      </c>
      <c r="Q12" s="55" t="s">
        <v>21</v>
      </c>
    </row>
    <row r="13" spans="1:17" x14ac:dyDescent="0.25">
      <c r="A13" s="37"/>
      <c r="B13" s="18" t="s">
        <v>16</v>
      </c>
      <c r="C13" s="14">
        <v>5000000</v>
      </c>
      <c r="D13" s="14">
        <f t="shared" ref="D13" si="4">C13*110%</f>
        <v>5500000</v>
      </c>
      <c r="E13" s="4">
        <v>1</v>
      </c>
      <c r="F13" s="14">
        <f>D13*E13</f>
        <v>5500000</v>
      </c>
      <c r="G13" s="14">
        <f>F13/J$1</f>
        <v>1540.6594022241518</v>
      </c>
      <c r="H13" s="14">
        <f t="shared" si="1"/>
        <v>1725.5385304910501</v>
      </c>
      <c r="I13" s="5" t="s">
        <v>46</v>
      </c>
      <c r="K13" s="38"/>
      <c r="L13" s="14">
        <v>5500000</v>
      </c>
      <c r="M13" s="4">
        <v>1</v>
      </c>
      <c r="N13" s="14">
        <v>5500000</v>
      </c>
      <c r="O13" s="14">
        <v>1540.6594022241518</v>
      </c>
      <c r="P13" s="14">
        <v>1725.5385304910501</v>
      </c>
      <c r="Q13" s="52" t="s">
        <v>46</v>
      </c>
    </row>
    <row r="14" spans="1:17" x14ac:dyDescent="0.25">
      <c r="A14" s="37"/>
      <c r="B14" s="18" t="s">
        <v>45</v>
      </c>
      <c r="C14" s="14">
        <v>9746632</v>
      </c>
      <c r="D14" s="14">
        <v>6578977</v>
      </c>
      <c r="E14" s="4">
        <v>1</v>
      </c>
      <c r="F14" s="14">
        <f>D14*E14</f>
        <v>6578977</v>
      </c>
      <c r="G14" s="14">
        <f>F14/J$1</f>
        <v>1842.902322193899</v>
      </c>
      <c r="H14" s="14">
        <f t="shared" si="1"/>
        <v>2064.050600857167</v>
      </c>
      <c r="I14" s="5" t="s">
        <v>7</v>
      </c>
      <c r="K14" s="38"/>
      <c r="L14" s="14"/>
      <c r="M14" s="4"/>
      <c r="N14" s="25"/>
      <c r="O14" s="14">
        <f t="shared" si="2"/>
        <v>0</v>
      </c>
      <c r="P14" s="14"/>
      <c r="Q14" s="54"/>
    </row>
    <row r="15" spans="1:17" x14ac:dyDescent="0.25">
      <c r="A15" s="37"/>
      <c r="B15" s="26" t="s">
        <v>33</v>
      </c>
      <c r="C15" s="27"/>
      <c r="D15" s="27"/>
      <c r="E15" s="28"/>
      <c r="F15" s="27"/>
      <c r="G15" s="27"/>
      <c r="H15" s="27"/>
      <c r="I15" s="28"/>
      <c r="K15" s="38"/>
      <c r="L15" s="27"/>
      <c r="M15" s="28"/>
      <c r="N15" s="27"/>
      <c r="O15" s="27"/>
      <c r="P15" s="27"/>
      <c r="Q15" s="56"/>
    </row>
    <row r="16" spans="1:17" x14ac:dyDescent="0.25">
      <c r="A16" s="37"/>
      <c r="B16" s="29" t="s">
        <v>17</v>
      </c>
      <c r="C16" s="30">
        <v>1400000</v>
      </c>
      <c r="D16" s="30">
        <v>1400000</v>
      </c>
      <c r="E16" s="31">
        <v>3</v>
      </c>
      <c r="F16" s="30">
        <f>C16*E16</f>
        <v>4200000</v>
      </c>
      <c r="G16" s="30">
        <f>F16/J$1</f>
        <v>1176.5035435166251</v>
      </c>
      <c r="H16" s="30">
        <f t="shared" si="1"/>
        <v>1317.6839687386203</v>
      </c>
      <c r="I16" s="32" t="s">
        <v>18</v>
      </c>
      <c r="K16" s="38"/>
      <c r="L16" s="30">
        <v>1400000</v>
      </c>
      <c r="M16" s="31">
        <v>3</v>
      </c>
      <c r="N16" s="40">
        <v>4200000</v>
      </c>
      <c r="O16" s="30">
        <f t="shared" si="2"/>
        <v>1176.5035435166251</v>
      </c>
      <c r="P16" s="30">
        <f t="shared" si="3"/>
        <v>1317.6839687386203</v>
      </c>
      <c r="Q16" s="57" t="s">
        <v>18</v>
      </c>
    </row>
    <row r="17" spans="1:17" ht="25.5" x14ac:dyDescent="0.25">
      <c r="A17" s="37"/>
      <c r="B17" s="44" t="s">
        <v>55</v>
      </c>
      <c r="C17" s="46"/>
      <c r="D17" s="1"/>
      <c r="E17" s="15" t="s">
        <v>40</v>
      </c>
      <c r="F17" s="20">
        <f>SUM(F2:F16)</f>
        <v>112028977</v>
      </c>
      <c r="G17" s="14"/>
      <c r="H17" s="15">
        <f>SUM(H2:H16)</f>
        <v>35147.330244544668</v>
      </c>
      <c r="I17" s="5"/>
      <c r="K17" s="38"/>
      <c r="L17" s="15" t="s">
        <v>42</v>
      </c>
      <c r="M17" s="4"/>
      <c r="N17" s="20">
        <f>SUM(N2:N16)</f>
        <v>100110000</v>
      </c>
      <c r="O17" s="20">
        <f>SUM(O2:O16)</f>
        <v>26322.866186727919</v>
      </c>
      <c r="P17" s="20">
        <f>SUM(P2:P16)</f>
        <v>31407.938597719825</v>
      </c>
      <c r="Q17" s="54"/>
    </row>
    <row r="18" spans="1:17" s="11" customFormat="1" ht="21" x14ac:dyDescent="0.35">
      <c r="A18" s="42"/>
      <c r="B18" s="42"/>
      <c r="C18" s="42"/>
      <c r="D18" s="51" t="s">
        <v>43</v>
      </c>
      <c r="E18" s="51"/>
      <c r="F18" s="42" t="s">
        <v>44</v>
      </c>
      <c r="G18" s="42"/>
      <c r="H18" s="43">
        <f>H17+P17</f>
        <v>66555.268842264486</v>
      </c>
      <c r="I18" s="42"/>
      <c r="J18" s="42"/>
      <c r="K18" s="42"/>
      <c r="L18" s="42"/>
      <c r="M18" s="42"/>
      <c r="N18" s="42"/>
      <c r="O18" s="42"/>
      <c r="P18" s="42"/>
      <c r="Q18" s="58"/>
    </row>
    <row r="19" spans="1:17" ht="32.1" customHeight="1" x14ac:dyDescent="0.25">
      <c r="B19" s="17"/>
      <c r="C19" s="20"/>
      <c r="D19" s="20"/>
      <c r="E19" s="20"/>
      <c r="F19" s="45"/>
      <c r="G19" s="20"/>
      <c r="H19" s="20"/>
      <c r="I19" s="20"/>
    </row>
    <row r="20" spans="1:17" ht="21" customHeight="1" x14ac:dyDescent="0.25">
      <c r="B20" s="19"/>
      <c r="C20" s="21"/>
      <c r="D20" s="21"/>
      <c r="E20" s="12"/>
      <c r="F20" s="12"/>
      <c r="I20" s="12"/>
    </row>
    <row r="21" spans="1:17" ht="24" customHeight="1" x14ac:dyDescent="0.25">
      <c r="B21" s="19"/>
      <c r="C21" s="6"/>
      <c r="D21" s="6"/>
      <c r="E21" s="6"/>
      <c r="F21" s="6"/>
      <c r="I21" s="6"/>
    </row>
    <row r="22" spans="1:17" x14ac:dyDescent="0.25">
      <c r="B22" s="7"/>
      <c r="C22" s="8"/>
      <c r="D22" s="8"/>
      <c r="E22" s="9"/>
      <c r="F22" s="10"/>
      <c r="I22" s="9"/>
    </row>
  </sheetData>
  <mergeCells count="3">
    <mergeCell ref="A1:A17"/>
    <mergeCell ref="K1:K17"/>
    <mergeCell ref="D18:E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818F-0646-4817-8D5F-1713D374B166}">
  <dimension ref="A1:Q23"/>
  <sheetViews>
    <sheetView workbookViewId="0">
      <selection activeCell="F10" sqref="F10"/>
    </sheetView>
  </sheetViews>
  <sheetFormatPr baseColWidth="10" defaultColWidth="8.7109375" defaultRowHeight="15" x14ac:dyDescent="0.25"/>
  <cols>
    <col min="1" max="1" width="5.28515625" style="1" customWidth="1"/>
    <col min="2" max="2" width="69.7109375" style="1" customWidth="1"/>
    <col min="3" max="3" width="13" style="11" hidden="1" customWidth="1"/>
    <col min="4" max="4" width="12.85546875" style="11" bestFit="1" customWidth="1"/>
    <col min="5" max="5" width="13.85546875" style="2" bestFit="1" customWidth="1"/>
    <col min="6" max="6" width="13.85546875" style="3" customWidth="1"/>
    <col min="7" max="7" width="10.140625" style="1" customWidth="1"/>
    <col min="8" max="8" width="13.85546875" style="1" bestFit="1" customWidth="1"/>
    <col min="9" max="9" width="13.5703125" style="2" bestFit="1" customWidth="1"/>
    <col min="10" max="10" width="8.7109375" style="1" hidden="1" customWidth="1"/>
    <col min="11" max="11" width="4.85546875" style="1" customWidth="1"/>
    <col min="12" max="12" width="12.85546875" style="1" bestFit="1" customWidth="1"/>
    <col min="13" max="13" width="8.7109375" style="1"/>
    <col min="14" max="14" width="12.85546875" style="1" bestFit="1" customWidth="1"/>
    <col min="15" max="15" width="12.85546875" style="1" hidden="1" customWidth="1"/>
    <col min="16" max="16" width="9.28515625" style="1" bestFit="1" customWidth="1"/>
    <col min="17" max="17" width="14.7109375" style="1" bestFit="1" customWidth="1"/>
    <col min="18" max="16384" width="8.7109375" style="1"/>
  </cols>
  <sheetData>
    <row r="1" spans="1:17" ht="42" x14ac:dyDescent="0.25">
      <c r="A1" s="37" t="s">
        <v>40</v>
      </c>
      <c r="B1" s="16" t="s">
        <v>30</v>
      </c>
      <c r="C1" s="16" t="s">
        <v>0</v>
      </c>
      <c r="D1" s="16" t="s">
        <v>36</v>
      </c>
      <c r="E1" s="16" t="s">
        <v>37</v>
      </c>
      <c r="F1" s="16" t="s">
        <v>38</v>
      </c>
      <c r="G1" s="16" t="s">
        <v>39</v>
      </c>
      <c r="H1" s="16" t="s">
        <v>41</v>
      </c>
      <c r="I1" s="16" t="s">
        <v>31</v>
      </c>
      <c r="J1" s="13">
        <v>3569.9</v>
      </c>
      <c r="K1" s="38" t="s">
        <v>42</v>
      </c>
      <c r="L1" s="16" t="s">
        <v>36</v>
      </c>
      <c r="M1" s="16" t="s">
        <v>37</v>
      </c>
      <c r="N1" s="16" t="s">
        <v>38</v>
      </c>
      <c r="O1" s="16" t="s">
        <v>39</v>
      </c>
      <c r="P1" s="16" t="s">
        <v>41</v>
      </c>
      <c r="Q1" s="16" t="s">
        <v>31</v>
      </c>
    </row>
    <row r="2" spans="1:17" ht="25.5" x14ac:dyDescent="0.25">
      <c r="A2" s="37"/>
      <c r="B2" s="18" t="s">
        <v>32</v>
      </c>
      <c r="C2" s="14">
        <v>5500000</v>
      </c>
      <c r="D2" s="14">
        <f>C2*120%</f>
        <v>6600000</v>
      </c>
      <c r="E2" s="4">
        <v>3</v>
      </c>
      <c r="F2" s="14">
        <f>D2*E2</f>
        <v>19800000</v>
      </c>
      <c r="G2" s="14">
        <f>F2/J$1</f>
        <v>5546.3738480069469</v>
      </c>
      <c r="H2" s="14">
        <f>G2*J$2</f>
        <v>6211.9387097677809</v>
      </c>
      <c r="I2" s="14" t="s">
        <v>10</v>
      </c>
      <c r="J2" s="13">
        <v>1.1200000000000001</v>
      </c>
      <c r="K2" s="38"/>
      <c r="L2" s="14">
        <v>6600000</v>
      </c>
      <c r="M2" s="4">
        <v>3</v>
      </c>
      <c r="N2" s="25">
        <f>+L2*M2</f>
        <v>19800000</v>
      </c>
      <c r="O2" s="14">
        <f>N2/J$1</f>
        <v>5546.3738480069469</v>
      </c>
      <c r="P2" s="14">
        <f>O2*J$2</f>
        <v>6211.9387097677809</v>
      </c>
      <c r="Q2" s="54" t="s">
        <v>10</v>
      </c>
    </row>
    <row r="3" spans="1:17" x14ac:dyDescent="0.25">
      <c r="A3" s="37"/>
      <c r="B3" s="22" t="s">
        <v>9</v>
      </c>
      <c r="C3" s="23"/>
      <c r="D3" s="23"/>
      <c r="E3" s="24"/>
      <c r="F3" s="24"/>
      <c r="G3" s="24"/>
      <c r="H3" s="24"/>
      <c r="I3" s="24"/>
      <c r="K3" s="38"/>
      <c r="L3" s="24"/>
      <c r="M3" s="24"/>
      <c r="N3" s="39"/>
      <c r="O3" s="24"/>
      <c r="P3" s="24"/>
      <c r="Q3" s="53"/>
    </row>
    <row r="4" spans="1:17" ht="25.5" x14ac:dyDescent="0.25">
      <c r="A4" s="37"/>
      <c r="B4" s="18" t="s">
        <v>28</v>
      </c>
      <c r="C4" s="14">
        <v>2500000</v>
      </c>
      <c r="D4" s="14">
        <f t="shared" ref="D4:D10" si="0">C4*120%</f>
        <v>3000000</v>
      </c>
      <c r="E4" s="5">
        <v>3</v>
      </c>
      <c r="F4" s="14">
        <f>D4*E4</f>
        <v>9000000</v>
      </c>
      <c r="G4" s="14">
        <f>F4/J$1</f>
        <v>2521.0790218213397</v>
      </c>
      <c r="H4" s="14">
        <f t="shared" ref="H4:H17" si="1">G4*J$2</f>
        <v>2823.6085044399006</v>
      </c>
      <c r="I4" s="5" t="s">
        <v>10</v>
      </c>
      <c r="K4" s="38"/>
      <c r="L4" s="14">
        <v>3000000</v>
      </c>
      <c r="M4" s="5">
        <v>3</v>
      </c>
      <c r="N4" s="25">
        <f>+L4*M4</f>
        <v>9000000</v>
      </c>
      <c r="O4" s="14">
        <f t="shared" ref="O4:O17" si="2">N4/J$1</f>
        <v>2521.0790218213397</v>
      </c>
      <c r="P4" s="14">
        <f t="shared" ref="P4:P17" si="3">O4*J$2</f>
        <v>2823.6085044399006</v>
      </c>
      <c r="Q4" s="54" t="s">
        <v>10</v>
      </c>
    </row>
    <row r="5" spans="1:17" x14ac:dyDescent="0.25">
      <c r="A5" s="37"/>
      <c r="B5" s="18" t="s">
        <v>11</v>
      </c>
      <c r="C5" s="14">
        <v>800000</v>
      </c>
      <c r="D5" s="14">
        <f t="shared" si="0"/>
        <v>960000</v>
      </c>
      <c r="E5" s="5">
        <v>3</v>
      </c>
      <c r="F5" s="14">
        <f>D5*E5</f>
        <v>2880000</v>
      </c>
      <c r="G5" s="14">
        <f>F5/J$1</f>
        <v>806.74528698282859</v>
      </c>
      <c r="H5" s="14">
        <f t="shared" si="1"/>
        <v>903.55472142076815</v>
      </c>
      <c r="I5" s="5" t="s">
        <v>10</v>
      </c>
      <c r="K5" s="38"/>
      <c r="L5" s="14">
        <v>960000</v>
      </c>
      <c r="M5" s="5">
        <v>3</v>
      </c>
      <c r="N5" s="25">
        <v>2880000</v>
      </c>
      <c r="O5" s="14">
        <f t="shared" si="2"/>
        <v>806.74528698282859</v>
      </c>
      <c r="P5" s="14">
        <f t="shared" si="3"/>
        <v>903.55472142076815</v>
      </c>
      <c r="Q5" s="54" t="s">
        <v>10</v>
      </c>
    </row>
    <row r="6" spans="1:17" x14ac:dyDescent="0.25">
      <c r="A6" s="37"/>
      <c r="B6" s="22" t="s">
        <v>12</v>
      </c>
      <c r="C6" s="23"/>
      <c r="D6" s="23"/>
      <c r="E6" s="24"/>
      <c r="F6" s="24"/>
      <c r="G6" s="24"/>
      <c r="H6" s="24"/>
      <c r="I6" s="24"/>
      <c r="K6" s="38"/>
      <c r="L6" s="24"/>
      <c r="M6" s="24"/>
      <c r="N6" s="39"/>
      <c r="O6" s="24"/>
      <c r="P6" s="24"/>
      <c r="Q6" s="53"/>
    </row>
    <row r="7" spans="1:17" ht="25.5" x14ac:dyDescent="0.25">
      <c r="A7" s="37"/>
      <c r="B7" s="18" t="s">
        <v>29</v>
      </c>
      <c r="C7" s="14">
        <v>2000000</v>
      </c>
      <c r="D7" s="14">
        <f t="shared" si="0"/>
        <v>2400000</v>
      </c>
      <c r="E7" s="4">
        <v>3</v>
      </c>
      <c r="F7" s="14">
        <f>D7*E7</f>
        <v>7200000</v>
      </c>
      <c r="G7" s="14">
        <f>F7/J$1</f>
        <v>2016.8632174570716</v>
      </c>
      <c r="H7" s="14">
        <f t="shared" si="1"/>
        <v>2258.8868035519204</v>
      </c>
      <c r="I7" s="5" t="s">
        <v>10</v>
      </c>
      <c r="K7" s="38"/>
      <c r="L7" s="14">
        <v>2400000</v>
      </c>
      <c r="M7" s="4">
        <v>3</v>
      </c>
      <c r="N7" s="14">
        <f>+L7*M7</f>
        <v>7200000</v>
      </c>
      <c r="O7" s="14">
        <f t="shared" si="2"/>
        <v>2016.8632174570716</v>
      </c>
      <c r="P7" s="14">
        <f t="shared" si="3"/>
        <v>2258.8868035519204</v>
      </c>
      <c r="Q7" s="52" t="s">
        <v>10</v>
      </c>
    </row>
    <row r="8" spans="1:17" x14ac:dyDescent="0.25">
      <c r="A8" s="37"/>
      <c r="B8" s="18" t="s">
        <v>13</v>
      </c>
      <c r="C8" s="14">
        <v>550000</v>
      </c>
      <c r="D8" s="14">
        <f t="shared" si="0"/>
        <v>660000</v>
      </c>
      <c r="E8" s="4">
        <v>3</v>
      </c>
      <c r="F8" s="14">
        <f>D8*E8</f>
        <v>1980000</v>
      </c>
      <c r="G8" s="14">
        <f>F8/J$1</f>
        <v>554.63738480069469</v>
      </c>
      <c r="H8" s="14">
        <f t="shared" si="1"/>
        <v>621.19387097677816</v>
      </c>
      <c r="I8" s="5" t="s">
        <v>3</v>
      </c>
      <c r="K8" s="38"/>
      <c r="L8" s="14">
        <v>660000</v>
      </c>
      <c r="M8" s="4">
        <v>3</v>
      </c>
      <c r="N8" s="25">
        <v>1980000</v>
      </c>
      <c r="O8" s="14">
        <f t="shared" si="2"/>
        <v>554.63738480069469</v>
      </c>
      <c r="P8" s="14">
        <f t="shared" si="3"/>
        <v>621.19387097677816</v>
      </c>
      <c r="Q8" s="54" t="s">
        <v>3</v>
      </c>
    </row>
    <row r="9" spans="1:17" x14ac:dyDescent="0.25">
      <c r="A9" s="37"/>
      <c r="B9" s="18" t="s">
        <v>14</v>
      </c>
      <c r="C9" s="14">
        <v>550000</v>
      </c>
      <c r="D9" s="14">
        <f t="shared" si="0"/>
        <v>660000</v>
      </c>
      <c r="E9" s="4">
        <v>3</v>
      </c>
      <c r="F9" s="14">
        <f>D9*E9</f>
        <v>1980000</v>
      </c>
      <c r="G9" s="14">
        <f>F9/J$1</f>
        <v>554.63738480069469</v>
      </c>
      <c r="H9" s="14">
        <f t="shared" si="1"/>
        <v>621.19387097677816</v>
      </c>
      <c r="I9" s="5" t="s">
        <v>3</v>
      </c>
      <c r="K9" s="38"/>
      <c r="L9" s="14">
        <v>660000</v>
      </c>
      <c r="M9" s="4">
        <v>3</v>
      </c>
      <c r="N9" s="25">
        <v>1980000</v>
      </c>
      <c r="O9" s="14">
        <f t="shared" si="2"/>
        <v>554.63738480069469</v>
      </c>
      <c r="P9" s="14">
        <f t="shared" si="3"/>
        <v>621.19387097677816</v>
      </c>
      <c r="Q9" s="54" t="s">
        <v>3</v>
      </c>
    </row>
    <row r="10" spans="1:17" x14ac:dyDescent="0.25">
      <c r="A10" s="37"/>
      <c r="B10" s="18" t="s">
        <v>15</v>
      </c>
      <c r="C10" s="14">
        <v>525000</v>
      </c>
      <c r="D10" s="14">
        <f t="shared" si="0"/>
        <v>630000</v>
      </c>
      <c r="E10" s="4">
        <v>3</v>
      </c>
      <c r="F10" s="14">
        <f>D10*E10</f>
        <v>1890000</v>
      </c>
      <c r="G10" s="14">
        <f>F10/J$1</f>
        <v>529.42659458248124</v>
      </c>
      <c r="H10" s="14">
        <f t="shared" si="1"/>
        <v>592.95778593237901</v>
      </c>
      <c r="I10" s="5" t="s">
        <v>3</v>
      </c>
      <c r="K10" s="38"/>
      <c r="L10" s="14">
        <v>630000</v>
      </c>
      <c r="M10" s="4">
        <v>3</v>
      </c>
      <c r="N10" s="25">
        <v>1890000</v>
      </c>
      <c r="O10" s="14">
        <f t="shared" si="2"/>
        <v>529.42659458248124</v>
      </c>
      <c r="P10" s="14">
        <f t="shared" si="3"/>
        <v>592.95778593237901</v>
      </c>
      <c r="Q10" s="54" t="s">
        <v>3</v>
      </c>
    </row>
    <row r="11" spans="1:17" x14ac:dyDescent="0.25">
      <c r="A11" s="37"/>
      <c r="B11" s="22" t="s">
        <v>48</v>
      </c>
      <c r="C11" s="23"/>
      <c r="D11" s="23"/>
      <c r="E11" s="24"/>
      <c r="F11" s="24"/>
      <c r="G11" s="24"/>
      <c r="H11" s="24"/>
      <c r="I11" s="24"/>
      <c r="K11" s="38"/>
      <c r="L11" s="23"/>
      <c r="M11" s="24"/>
      <c r="N11" s="24"/>
      <c r="O11" s="24"/>
      <c r="P11" s="24"/>
      <c r="Q11" s="53"/>
    </row>
    <row r="12" spans="1:17" x14ac:dyDescent="0.25">
      <c r="A12" s="37"/>
      <c r="B12" s="18" t="s">
        <v>47</v>
      </c>
      <c r="C12" s="14"/>
      <c r="D12" s="14">
        <v>3000000</v>
      </c>
      <c r="E12" s="4">
        <v>1</v>
      </c>
      <c r="F12" s="14">
        <f>+D12*E12</f>
        <v>3000000</v>
      </c>
      <c r="G12" s="14">
        <f>F12/J$1</f>
        <v>840.35967394044644</v>
      </c>
      <c r="H12" s="14">
        <f t="shared" si="1"/>
        <v>941.20283481330011</v>
      </c>
      <c r="I12" s="5" t="s">
        <v>10</v>
      </c>
      <c r="K12" s="38"/>
      <c r="L12" s="14">
        <v>3000000</v>
      </c>
      <c r="M12" s="4">
        <v>1</v>
      </c>
      <c r="N12" s="14">
        <v>3000000</v>
      </c>
      <c r="O12" s="14"/>
      <c r="P12" s="14">
        <v>941.20283481330011</v>
      </c>
      <c r="Q12" s="52" t="s">
        <v>10</v>
      </c>
    </row>
    <row r="13" spans="1:17" x14ac:dyDescent="0.25">
      <c r="A13" s="37"/>
      <c r="B13" s="18" t="s">
        <v>16</v>
      </c>
      <c r="C13" s="14">
        <v>2500000</v>
      </c>
      <c r="D13" s="14">
        <f t="shared" ref="D13" si="4">C13*110%</f>
        <v>2750000</v>
      </c>
      <c r="E13" s="4">
        <v>1</v>
      </c>
      <c r="F13" s="14">
        <f>D13*E13</f>
        <v>2750000</v>
      </c>
      <c r="G13" s="14">
        <f>F13/J$1</f>
        <v>770.3297011120759</v>
      </c>
      <c r="H13" s="14">
        <f t="shared" si="1"/>
        <v>862.76926524552505</v>
      </c>
      <c r="I13" s="5" t="s">
        <v>46</v>
      </c>
      <c r="K13" s="38"/>
      <c r="L13" s="14">
        <v>2750000</v>
      </c>
      <c r="M13" s="4">
        <v>1</v>
      </c>
      <c r="N13" s="14">
        <v>2750000</v>
      </c>
      <c r="O13" s="14">
        <v>1540.6594022241518</v>
      </c>
      <c r="P13" s="14">
        <v>862.76926524552505</v>
      </c>
      <c r="Q13" s="52" t="s">
        <v>46</v>
      </c>
    </row>
    <row r="14" spans="1:17" x14ac:dyDescent="0.25">
      <c r="A14" s="37"/>
      <c r="B14" s="18" t="s">
        <v>45</v>
      </c>
      <c r="C14" s="14">
        <v>5000000</v>
      </c>
      <c r="D14" s="14">
        <v>6578977</v>
      </c>
      <c r="E14" s="4">
        <v>1</v>
      </c>
      <c r="F14" s="14">
        <f>D14*E14</f>
        <v>6578977</v>
      </c>
      <c r="G14" s="14">
        <f>F14/J$1</f>
        <v>1842.902322193899</v>
      </c>
      <c r="H14" s="14">
        <f t="shared" si="1"/>
        <v>2064.050600857167</v>
      </c>
      <c r="I14" s="5" t="s">
        <v>7</v>
      </c>
      <c r="K14" s="38"/>
      <c r="L14" s="14"/>
      <c r="M14" s="4"/>
      <c r="N14" s="25"/>
      <c r="O14" s="14">
        <f t="shared" si="2"/>
        <v>0</v>
      </c>
      <c r="P14" s="14"/>
      <c r="Q14" s="54"/>
    </row>
    <row r="15" spans="1:17" x14ac:dyDescent="0.25">
      <c r="A15" s="37"/>
      <c r="B15" s="26" t="s">
        <v>33</v>
      </c>
      <c r="C15" s="27"/>
      <c r="D15" s="27"/>
      <c r="E15" s="28"/>
      <c r="F15" s="27"/>
      <c r="G15" s="27"/>
      <c r="H15" s="27"/>
      <c r="I15" s="28"/>
      <c r="K15" s="38"/>
      <c r="L15" s="27"/>
      <c r="M15" s="28"/>
      <c r="N15" s="27"/>
      <c r="O15" s="27"/>
      <c r="P15" s="27"/>
      <c r="Q15" s="56"/>
    </row>
    <row r="16" spans="1:17" x14ac:dyDescent="0.25">
      <c r="A16" s="37"/>
      <c r="B16" s="29" t="s">
        <v>17</v>
      </c>
      <c r="C16" s="30">
        <v>1400000</v>
      </c>
      <c r="D16" s="30">
        <v>1400000</v>
      </c>
      <c r="E16" s="31">
        <v>3</v>
      </c>
      <c r="F16" s="30">
        <f>C16*E16</f>
        <v>4200000</v>
      </c>
      <c r="G16" s="30">
        <f>F16/J$1</f>
        <v>1176.5035435166251</v>
      </c>
      <c r="H16" s="30">
        <f t="shared" si="1"/>
        <v>1317.6839687386203</v>
      </c>
      <c r="I16" s="32" t="s">
        <v>18</v>
      </c>
      <c r="K16" s="38"/>
      <c r="L16" s="30">
        <v>1400000</v>
      </c>
      <c r="M16" s="31">
        <v>3</v>
      </c>
      <c r="N16" s="40">
        <v>4200000</v>
      </c>
      <c r="O16" s="30">
        <f t="shared" si="2"/>
        <v>1176.5035435166251</v>
      </c>
      <c r="P16" s="30">
        <f t="shared" si="3"/>
        <v>1317.6839687386203</v>
      </c>
      <c r="Q16" s="57" t="s">
        <v>18</v>
      </c>
    </row>
    <row r="17" spans="1:17" x14ac:dyDescent="0.25">
      <c r="A17" s="37"/>
      <c r="B17" s="29" t="s">
        <v>52</v>
      </c>
      <c r="C17" s="30">
        <v>2000000</v>
      </c>
      <c r="D17" s="30">
        <v>2000000</v>
      </c>
      <c r="E17" s="31">
        <v>3</v>
      </c>
      <c r="F17" s="30">
        <f>C17*E17</f>
        <v>6000000</v>
      </c>
      <c r="G17" s="30">
        <f>F17/J$1</f>
        <v>1680.7193478808929</v>
      </c>
      <c r="H17" s="30">
        <f t="shared" si="1"/>
        <v>1882.4056696266002</v>
      </c>
      <c r="I17" s="32" t="s">
        <v>18</v>
      </c>
      <c r="K17" s="38"/>
      <c r="L17" s="30">
        <v>2000000</v>
      </c>
      <c r="M17" s="31">
        <v>3</v>
      </c>
      <c r="N17" s="40">
        <v>6000000</v>
      </c>
      <c r="O17" s="30">
        <f t="shared" si="2"/>
        <v>1680.7193478808929</v>
      </c>
      <c r="P17" s="30">
        <v>1882.4056696266002</v>
      </c>
      <c r="Q17" s="57" t="s">
        <v>18</v>
      </c>
    </row>
    <row r="18" spans="1:17" x14ac:dyDescent="0.25">
      <c r="A18" s="37"/>
      <c r="B18" s="44" t="s">
        <v>53</v>
      </c>
      <c r="C18" s="46"/>
      <c r="D18" s="1"/>
      <c r="E18" s="15" t="s">
        <v>40</v>
      </c>
      <c r="F18" s="20">
        <f>SUM(F2:F17)</f>
        <v>67258977</v>
      </c>
      <c r="G18" s="14"/>
      <c r="H18" s="15">
        <f>SUM(H2:H17)</f>
        <v>21101.446606347519</v>
      </c>
      <c r="I18" s="5"/>
      <c r="K18" s="38"/>
      <c r="L18" s="15" t="s">
        <v>42</v>
      </c>
      <c r="M18" s="4"/>
      <c r="N18" s="20">
        <f>SUM(N2:N17)</f>
        <v>60680000</v>
      </c>
      <c r="O18" s="20">
        <f>SUM(O2:O17)</f>
        <v>16927.645032073728</v>
      </c>
      <c r="P18" s="20">
        <f>SUM(P2:P17)</f>
        <v>19037.396005490351</v>
      </c>
      <c r="Q18" s="54"/>
    </row>
    <row r="19" spans="1:17" s="11" customFormat="1" ht="21" x14ac:dyDescent="0.35">
      <c r="A19" s="42"/>
      <c r="B19" s="42"/>
      <c r="C19" s="42"/>
      <c r="D19" s="51" t="s">
        <v>43</v>
      </c>
      <c r="E19" s="51"/>
      <c r="F19" s="42" t="s">
        <v>44</v>
      </c>
      <c r="G19" s="42"/>
      <c r="H19" s="43">
        <f>H18+P18</f>
        <v>40138.84261183787</v>
      </c>
      <c r="I19" s="42"/>
      <c r="J19" s="42"/>
      <c r="K19" s="42"/>
      <c r="L19" s="42"/>
      <c r="M19" s="42"/>
      <c r="N19" s="42"/>
      <c r="O19" s="42"/>
      <c r="P19" s="42"/>
      <c r="Q19" s="42"/>
    </row>
    <row r="20" spans="1:17" ht="32.1" customHeight="1" x14ac:dyDescent="0.25">
      <c r="B20" s="17"/>
      <c r="C20" s="20"/>
      <c r="D20" s="20"/>
      <c r="E20" s="20"/>
      <c r="F20" s="45"/>
      <c r="G20" s="20"/>
      <c r="H20" s="20"/>
      <c r="I20" s="20"/>
    </row>
    <row r="21" spans="1:17" ht="21" customHeight="1" x14ac:dyDescent="0.25">
      <c r="B21" s="19"/>
      <c r="C21" s="21"/>
      <c r="D21" s="21"/>
      <c r="E21" s="12"/>
      <c r="F21" s="12"/>
      <c r="I21" s="12"/>
    </row>
    <row r="22" spans="1:17" ht="24" customHeight="1" x14ac:dyDescent="0.25">
      <c r="B22" s="19"/>
      <c r="C22" s="6"/>
      <c r="D22" s="6"/>
      <c r="E22" s="6"/>
      <c r="F22" s="6"/>
      <c r="I22" s="6"/>
    </row>
    <row r="23" spans="1:17" x14ac:dyDescent="0.25">
      <c r="B23" s="7"/>
      <c r="C23" s="8"/>
      <c r="D23" s="8"/>
      <c r="E23" s="9"/>
      <c r="F23" s="10"/>
      <c r="I23" s="9"/>
    </row>
  </sheetData>
  <mergeCells count="3">
    <mergeCell ref="A1:A18"/>
    <mergeCell ref="K1:K18"/>
    <mergeCell ref="D19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0A9C-B546-414D-98AE-85ABAB2D6690}">
  <dimension ref="A1:W39"/>
  <sheetViews>
    <sheetView tabSelected="1" topLeftCell="A13" workbookViewId="0">
      <pane xSplit="3" topLeftCell="D1" activePane="topRight" state="frozen"/>
      <selection activeCell="A2" sqref="A2"/>
      <selection pane="topRight" activeCell="K41" sqref="K41"/>
    </sheetView>
  </sheetViews>
  <sheetFormatPr baseColWidth="10" defaultColWidth="8.7109375" defaultRowHeight="15" x14ac:dyDescent="0.25"/>
  <cols>
    <col min="1" max="1" width="5.28515625" style="1" customWidth="1"/>
    <col min="2" max="2" width="69.7109375" style="1" customWidth="1"/>
    <col min="3" max="3" width="13" style="11" hidden="1" customWidth="1"/>
    <col min="4" max="4" width="13.42578125" style="11" bestFit="1" customWidth="1"/>
    <col min="5" max="5" width="13.85546875" style="2" bestFit="1" customWidth="1"/>
    <col min="6" max="6" width="13.85546875" style="3" customWidth="1"/>
    <col min="7" max="7" width="10.140625" style="1" hidden="1" customWidth="1"/>
    <col min="8" max="8" width="15.42578125" style="1" bestFit="1" customWidth="1"/>
    <col min="9" max="9" width="13.5703125" style="2" bestFit="1" customWidth="1"/>
    <col min="10" max="10" width="8.7109375" style="1" hidden="1" customWidth="1"/>
    <col min="11" max="11" width="4.85546875" style="1" customWidth="1"/>
    <col min="12" max="12" width="13.42578125" style="1" bestFit="1" customWidth="1"/>
    <col min="13" max="13" width="8.7109375" style="1"/>
    <col min="14" max="14" width="13.42578125" style="1" bestFit="1" customWidth="1"/>
    <col min="15" max="15" width="12.85546875" style="1" customWidth="1"/>
    <col min="16" max="16" width="9.7109375" style="1" bestFit="1" customWidth="1"/>
    <col min="17" max="17" width="14.7109375" style="1" bestFit="1" customWidth="1"/>
    <col min="18" max="19" width="8.7109375" style="1"/>
    <col min="20" max="20" width="12.140625" style="1" bestFit="1" customWidth="1"/>
    <col min="21" max="21" width="11.7109375" style="1" bestFit="1" customWidth="1"/>
    <col min="22" max="22" width="10.5703125" style="1" bestFit="1" customWidth="1"/>
    <col min="23" max="16384" width="8.7109375" style="1"/>
  </cols>
  <sheetData>
    <row r="1" spans="1:23" x14ac:dyDescent="0.25">
      <c r="D1" s="81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</row>
    <row r="2" spans="1:23" ht="42" customHeight="1" x14ac:dyDescent="0.25">
      <c r="A2" s="37" t="s">
        <v>40</v>
      </c>
      <c r="B2" s="16" t="s">
        <v>30</v>
      </c>
      <c r="C2" s="16" t="s">
        <v>0</v>
      </c>
      <c r="D2" s="60" t="s">
        <v>36</v>
      </c>
      <c r="E2" s="16" t="s">
        <v>37</v>
      </c>
      <c r="F2" s="16" t="s">
        <v>38</v>
      </c>
      <c r="G2" s="16" t="s">
        <v>39</v>
      </c>
      <c r="H2" s="16" t="s">
        <v>41</v>
      </c>
      <c r="I2" s="16" t="s">
        <v>31</v>
      </c>
      <c r="J2" s="13">
        <v>3569.9</v>
      </c>
      <c r="K2" s="38" t="s">
        <v>42</v>
      </c>
      <c r="L2" s="16" t="s">
        <v>36</v>
      </c>
      <c r="M2" s="16" t="s">
        <v>37</v>
      </c>
      <c r="N2" s="16" t="s">
        <v>38</v>
      </c>
      <c r="O2" s="16" t="s">
        <v>39</v>
      </c>
      <c r="P2" s="16" t="s">
        <v>41</v>
      </c>
      <c r="Q2" s="61" t="s">
        <v>31</v>
      </c>
      <c r="U2" s="45"/>
      <c r="V2" s="45"/>
    </row>
    <row r="3" spans="1:23" ht="25.5" x14ac:dyDescent="0.25">
      <c r="A3" s="37"/>
      <c r="B3" s="18" t="s">
        <v>32</v>
      </c>
      <c r="C3" s="14">
        <v>9500000</v>
      </c>
      <c r="D3" s="62">
        <v>25450000</v>
      </c>
      <c r="E3" s="4">
        <v>3</v>
      </c>
      <c r="F3" s="14">
        <f>D3*E3</f>
        <v>76350000</v>
      </c>
      <c r="G3" s="14">
        <f>F3/J$2</f>
        <v>21387.153701784362</v>
      </c>
      <c r="H3" s="14">
        <f>G3*J$3</f>
        <v>23953.612145998486</v>
      </c>
      <c r="I3" s="5" t="s">
        <v>10</v>
      </c>
      <c r="J3" s="13">
        <v>1.1200000000000001</v>
      </c>
      <c r="K3" s="38"/>
      <c r="L3" s="14">
        <v>25450000</v>
      </c>
      <c r="M3" s="4">
        <v>3</v>
      </c>
      <c r="N3" s="25">
        <f>+L3*M3</f>
        <v>76350000</v>
      </c>
      <c r="O3" s="14">
        <f>N3/J$2</f>
        <v>21387.153701784362</v>
      </c>
      <c r="P3" s="14">
        <f>O3*J$3</f>
        <v>23953.612145998486</v>
      </c>
      <c r="Q3" s="63" t="s">
        <v>10</v>
      </c>
      <c r="U3" s="45"/>
      <c r="V3" s="45"/>
      <c r="W3" s="45"/>
    </row>
    <row r="4" spans="1:23" x14ac:dyDescent="0.25">
      <c r="A4" s="37"/>
      <c r="B4" s="22" t="s">
        <v>1</v>
      </c>
      <c r="C4" s="23"/>
      <c r="D4" s="64"/>
      <c r="E4" s="24"/>
      <c r="F4" s="24"/>
      <c r="G4" s="24"/>
      <c r="H4" s="24"/>
      <c r="I4" s="24"/>
      <c r="K4" s="38"/>
      <c r="L4" s="24"/>
      <c r="M4" s="24"/>
      <c r="N4" s="39"/>
      <c r="O4" s="24"/>
      <c r="P4" s="24"/>
      <c r="Q4" s="65"/>
    </row>
    <row r="5" spans="1:23" x14ac:dyDescent="0.25">
      <c r="A5" s="37"/>
      <c r="B5" s="18" t="s">
        <v>2</v>
      </c>
      <c r="C5" s="14">
        <v>2000000</v>
      </c>
      <c r="D5" s="62">
        <f t="shared" ref="D5:D11" si="0">C5*120%</f>
        <v>2400000</v>
      </c>
      <c r="E5" s="4">
        <v>3</v>
      </c>
      <c r="F5" s="14">
        <f>D5*E5</f>
        <v>7200000</v>
      </c>
      <c r="G5" s="14">
        <f>F5/J$2</f>
        <v>2016.8632174570716</v>
      </c>
      <c r="H5" s="14">
        <f t="shared" ref="H5:H36" si="1">G5*J$3</f>
        <v>2258.8868035519204</v>
      </c>
      <c r="I5" s="5" t="s">
        <v>3</v>
      </c>
      <c r="K5" s="38"/>
      <c r="L5" s="14">
        <v>2400000</v>
      </c>
      <c r="M5" s="4">
        <v>3</v>
      </c>
      <c r="N5" s="25">
        <v>7200000</v>
      </c>
      <c r="O5" s="14">
        <f t="shared" ref="O5:O7" si="2">N5/J$2</f>
        <v>2016.8632174570716</v>
      </c>
      <c r="P5" s="14">
        <f t="shared" ref="P5:P7" si="3">O5*J$3</f>
        <v>2258.8868035519204</v>
      </c>
      <c r="Q5" s="66" t="s">
        <v>3</v>
      </c>
    </row>
    <row r="6" spans="1:23" x14ac:dyDescent="0.25">
      <c r="A6" s="37"/>
      <c r="B6" s="18" t="s">
        <v>51</v>
      </c>
      <c r="C6" s="14">
        <v>1700000</v>
      </c>
      <c r="D6" s="62">
        <v>3040000</v>
      </c>
      <c r="E6" s="4">
        <v>3</v>
      </c>
      <c r="F6" s="14">
        <f>D6*E6</f>
        <v>9120000</v>
      </c>
      <c r="G6" s="14">
        <f>F6/J$2</f>
        <v>2554.6934087789573</v>
      </c>
      <c r="H6" s="14">
        <f t="shared" si="1"/>
        <v>2861.2566178324323</v>
      </c>
      <c r="I6" s="5" t="s">
        <v>4</v>
      </c>
      <c r="K6" s="38"/>
      <c r="L6" s="14">
        <v>3040000</v>
      </c>
      <c r="M6" s="4">
        <v>3</v>
      </c>
      <c r="N6" s="25">
        <v>6120000</v>
      </c>
      <c r="O6" s="14">
        <f t="shared" si="2"/>
        <v>1714.3337348385107</v>
      </c>
      <c r="P6" s="14">
        <f t="shared" si="3"/>
        <v>1920.0537830191322</v>
      </c>
      <c r="Q6" s="66" t="s">
        <v>4</v>
      </c>
      <c r="W6" s="85"/>
    </row>
    <row r="7" spans="1:23" x14ac:dyDescent="0.25">
      <c r="A7" s="37"/>
      <c r="B7" s="18" t="s">
        <v>49</v>
      </c>
      <c r="C7" s="14"/>
      <c r="D7" s="62">
        <v>1245000</v>
      </c>
      <c r="E7" s="4">
        <v>3</v>
      </c>
      <c r="F7" s="14">
        <f>D7*E7</f>
        <v>3735000</v>
      </c>
      <c r="G7" s="14">
        <f>F7/J$2</f>
        <v>1046.2477940558558</v>
      </c>
      <c r="H7" s="14">
        <f t="shared" si="1"/>
        <v>1171.7975293425586</v>
      </c>
      <c r="I7" s="5" t="s">
        <v>50</v>
      </c>
      <c r="K7" s="38"/>
      <c r="L7" s="14">
        <v>1245000</v>
      </c>
      <c r="M7" s="4">
        <v>3</v>
      </c>
      <c r="N7" s="14">
        <v>3735000</v>
      </c>
      <c r="O7" s="14">
        <f t="shared" si="2"/>
        <v>1046.2477940558558</v>
      </c>
      <c r="P7" s="14">
        <f t="shared" si="3"/>
        <v>1171.7975293425586</v>
      </c>
      <c r="Q7" s="63" t="s">
        <v>50</v>
      </c>
    </row>
    <row r="8" spans="1:23" x14ac:dyDescent="0.25">
      <c r="A8" s="37"/>
      <c r="B8" s="22" t="s">
        <v>5</v>
      </c>
      <c r="C8" s="23"/>
      <c r="D8" s="64"/>
      <c r="E8" s="24"/>
      <c r="F8" s="24"/>
      <c r="G8" s="24"/>
      <c r="H8" s="24"/>
      <c r="I8" s="24"/>
      <c r="K8" s="38"/>
      <c r="L8" s="24"/>
      <c r="M8" s="24"/>
      <c r="N8" s="39"/>
      <c r="O8" s="24"/>
      <c r="P8" s="24"/>
      <c r="Q8" s="65"/>
    </row>
    <row r="9" spans="1:23" x14ac:dyDescent="0.25">
      <c r="A9" s="37"/>
      <c r="B9" s="18" t="s">
        <v>6</v>
      </c>
      <c r="C9" s="14">
        <v>800000</v>
      </c>
      <c r="D9" s="62">
        <f t="shared" si="0"/>
        <v>960000</v>
      </c>
      <c r="E9" s="4">
        <v>1</v>
      </c>
      <c r="F9" s="14">
        <f>D9*E9</f>
        <v>960000</v>
      </c>
      <c r="G9" s="14">
        <f>F9/J$2</f>
        <v>268.91509566094288</v>
      </c>
      <c r="H9" s="14">
        <f t="shared" si="1"/>
        <v>301.18490714025603</v>
      </c>
      <c r="I9" s="5" t="s">
        <v>7</v>
      </c>
      <c r="K9" s="38"/>
      <c r="L9" s="14"/>
      <c r="M9" s="4"/>
      <c r="N9" s="25"/>
      <c r="O9" s="14">
        <f t="shared" ref="O9:O36" si="4">N9/J$2</f>
        <v>0</v>
      </c>
      <c r="P9" s="14"/>
      <c r="Q9" s="66"/>
    </row>
    <row r="10" spans="1:23" x14ac:dyDescent="0.25">
      <c r="A10" s="37"/>
      <c r="B10" s="18" t="s">
        <v>8</v>
      </c>
      <c r="C10" s="14">
        <v>500000</v>
      </c>
      <c r="D10" s="62">
        <f t="shared" si="0"/>
        <v>600000</v>
      </c>
      <c r="E10" s="4">
        <v>3</v>
      </c>
      <c r="F10" s="14">
        <f>D10*E10</f>
        <v>1800000</v>
      </c>
      <c r="G10" s="14">
        <f>F10/J$2</f>
        <v>504.21580436426791</v>
      </c>
      <c r="H10" s="14">
        <f t="shared" si="1"/>
        <v>564.72170088798009</v>
      </c>
      <c r="I10" s="5" t="s">
        <v>7</v>
      </c>
      <c r="K10" s="38"/>
      <c r="L10" s="14"/>
      <c r="M10" s="4"/>
      <c r="N10" s="25"/>
      <c r="O10" s="14">
        <f t="shared" si="4"/>
        <v>0</v>
      </c>
      <c r="P10" s="14"/>
      <c r="Q10" s="66"/>
    </row>
    <row r="11" spans="1:23" x14ac:dyDescent="0.25">
      <c r="A11" s="37"/>
      <c r="B11" s="18" t="s">
        <v>27</v>
      </c>
      <c r="C11" s="14">
        <v>600000</v>
      </c>
      <c r="D11" s="62">
        <f t="shared" si="0"/>
        <v>720000</v>
      </c>
      <c r="E11" s="4">
        <v>3</v>
      </c>
      <c r="F11" s="14">
        <f>D11*E11</f>
        <v>2160000</v>
      </c>
      <c r="G11" s="14">
        <f>F11/J$2</f>
        <v>605.05896523712147</v>
      </c>
      <c r="H11" s="14">
        <f t="shared" si="1"/>
        <v>677.66604106557611</v>
      </c>
      <c r="I11" s="5" t="s">
        <v>4</v>
      </c>
      <c r="K11" s="38"/>
      <c r="L11" s="14">
        <v>720000</v>
      </c>
      <c r="M11" s="4">
        <v>3</v>
      </c>
      <c r="N11" s="25">
        <v>2160000</v>
      </c>
      <c r="O11" s="14">
        <f t="shared" si="4"/>
        <v>605.05896523712147</v>
      </c>
      <c r="P11" s="14">
        <f t="shared" ref="P11:P36" si="5">O11*J$3</f>
        <v>677.66604106557611</v>
      </c>
      <c r="Q11" s="66" t="s">
        <v>4</v>
      </c>
    </row>
    <row r="12" spans="1:23" x14ac:dyDescent="0.25">
      <c r="A12" s="37"/>
      <c r="B12" s="22" t="s">
        <v>9</v>
      </c>
      <c r="C12" s="23"/>
      <c r="D12" s="64"/>
      <c r="E12" s="24"/>
      <c r="F12" s="24"/>
      <c r="G12" s="24"/>
      <c r="H12" s="24"/>
      <c r="I12" s="24"/>
      <c r="K12" s="38"/>
      <c r="L12" s="24"/>
      <c r="M12" s="24"/>
      <c r="N12" s="39"/>
      <c r="O12" s="24"/>
      <c r="P12" s="24"/>
      <c r="Q12" s="65"/>
    </row>
    <row r="13" spans="1:23" ht="25.5" x14ac:dyDescent="0.25">
      <c r="A13" s="37"/>
      <c r="B13" s="18" t="s">
        <v>28</v>
      </c>
      <c r="C13" s="14">
        <v>10000000</v>
      </c>
      <c r="D13" s="62">
        <v>19750000</v>
      </c>
      <c r="E13" s="5">
        <v>3</v>
      </c>
      <c r="F13" s="14">
        <f>D13*E13</f>
        <v>59250000</v>
      </c>
      <c r="G13" s="14">
        <f>F13/J$2</f>
        <v>16597.10356032382</v>
      </c>
      <c r="H13" s="14">
        <f t="shared" si="1"/>
        <v>18588.755987562679</v>
      </c>
      <c r="I13" s="5" t="s">
        <v>10</v>
      </c>
      <c r="K13" s="38"/>
      <c r="L13" s="14">
        <v>19750000</v>
      </c>
      <c r="M13" s="5">
        <v>3</v>
      </c>
      <c r="N13" s="25">
        <f>+L13*M13</f>
        <v>59250000</v>
      </c>
      <c r="O13" s="14">
        <f t="shared" si="4"/>
        <v>16597.10356032382</v>
      </c>
      <c r="P13" s="14">
        <f t="shared" si="5"/>
        <v>18588.755987562679</v>
      </c>
      <c r="Q13" s="66" t="s">
        <v>10</v>
      </c>
    </row>
    <row r="14" spans="1:23" x14ac:dyDescent="0.25">
      <c r="A14" s="37"/>
      <c r="B14" s="18" t="s">
        <v>11</v>
      </c>
      <c r="C14" s="14">
        <v>800000</v>
      </c>
      <c r="D14" s="62">
        <v>2880000</v>
      </c>
      <c r="E14" s="5">
        <v>3</v>
      </c>
      <c r="F14" s="14">
        <f>D14*E14</f>
        <v>8640000</v>
      </c>
      <c r="G14" s="14">
        <f>F14/J$2</f>
        <v>2420.2358609484859</v>
      </c>
      <c r="H14" s="14">
        <f t="shared" si="1"/>
        <v>2710.6641642623044</v>
      </c>
      <c r="I14" s="5" t="s">
        <v>10</v>
      </c>
      <c r="K14" s="38"/>
      <c r="L14" s="14">
        <v>2880000</v>
      </c>
      <c r="M14" s="5">
        <v>3</v>
      </c>
      <c r="N14" s="25">
        <v>2880000</v>
      </c>
      <c r="O14" s="14">
        <f t="shared" si="4"/>
        <v>806.74528698282859</v>
      </c>
      <c r="P14" s="14">
        <f t="shared" si="5"/>
        <v>903.55472142076815</v>
      </c>
      <c r="Q14" s="66" t="s">
        <v>10</v>
      </c>
    </row>
    <row r="15" spans="1:23" x14ac:dyDescent="0.25">
      <c r="A15" s="37"/>
      <c r="B15" s="22" t="s">
        <v>12</v>
      </c>
      <c r="C15" s="23"/>
      <c r="D15" s="64"/>
      <c r="E15" s="24"/>
      <c r="F15" s="24"/>
      <c r="G15" s="24"/>
      <c r="H15" s="24"/>
      <c r="I15" s="24"/>
      <c r="K15" s="38"/>
      <c r="L15" s="24"/>
      <c r="M15" s="24"/>
      <c r="N15" s="39"/>
      <c r="O15" s="24"/>
      <c r="P15" s="24"/>
      <c r="Q15" s="65"/>
    </row>
    <row r="16" spans="1:23" ht="25.5" x14ac:dyDescent="0.25">
      <c r="A16" s="37"/>
      <c r="B16" s="18" t="s">
        <v>29</v>
      </c>
      <c r="C16" s="14">
        <v>8900000</v>
      </c>
      <c r="D16" s="62">
        <v>18697500</v>
      </c>
      <c r="E16" s="4">
        <v>1</v>
      </c>
      <c r="F16" s="14">
        <f>D16*E16</f>
        <v>18697500</v>
      </c>
      <c r="G16" s="14">
        <f>F16/J$2</f>
        <v>5237.5416678338324</v>
      </c>
      <c r="H16" s="14">
        <f t="shared" si="1"/>
        <v>5866.0466679738929</v>
      </c>
      <c r="I16" s="5" t="s">
        <v>46</v>
      </c>
      <c r="K16" s="38"/>
      <c r="L16" s="14">
        <f>D16/2</f>
        <v>9348750</v>
      </c>
      <c r="M16" s="4">
        <v>1</v>
      </c>
      <c r="N16" s="14">
        <f>F16/2</f>
        <v>9348750</v>
      </c>
      <c r="O16" s="14">
        <f t="shared" si="4"/>
        <v>2618.7708339169162</v>
      </c>
      <c r="P16" s="14">
        <f t="shared" si="5"/>
        <v>2933.0233339869465</v>
      </c>
      <c r="Q16" s="63" t="s">
        <v>46</v>
      </c>
    </row>
    <row r="17" spans="1:17" x14ac:dyDescent="0.25">
      <c r="A17" s="37"/>
      <c r="B17" s="47" t="s">
        <v>13</v>
      </c>
      <c r="C17" s="48">
        <v>550000</v>
      </c>
      <c r="D17" s="84">
        <v>1980000</v>
      </c>
      <c r="E17" s="49">
        <v>3</v>
      </c>
      <c r="F17" s="48">
        <f>D17*E17</f>
        <v>5940000</v>
      </c>
      <c r="G17" s="48">
        <f>F17/J$2</f>
        <v>1663.9121544020841</v>
      </c>
      <c r="H17" s="48">
        <f t="shared" si="1"/>
        <v>1863.5816129303344</v>
      </c>
      <c r="I17" s="50" t="s">
        <v>3</v>
      </c>
      <c r="K17" s="38"/>
      <c r="L17" s="14">
        <v>1980000</v>
      </c>
      <c r="M17" s="4">
        <v>3</v>
      </c>
      <c r="N17" s="25">
        <v>1980000</v>
      </c>
      <c r="O17" s="14">
        <f t="shared" si="4"/>
        <v>554.63738480069469</v>
      </c>
      <c r="P17" s="14">
        <f t="shared" si="5"/>
        <v>621.19387097677816</v>
      </c>
      <c r="Q17" s="66" t="s">
        <v>3</v>
      </c>
    </row>
    <row r="18" spans="1:17" x14ac:dyDescent="0.25">
      <c r="A18" s="37"/>
      <c r="B18" s="47" t="s">
        <v>14</v>
      </c>
      <c r="C18" s="48">
        <v>550000</v>
      </c>
      <c r="D18" s="84">
        <v>1980000</v>
      </c>
      <c r="E18" s="49">
        <v>3</v>
      </c>
      <c r="F18" s="48">
        <f>D18*E18</f>
        <v>5940000</v>
      </c>
      <c r="G18" s="48">
        <f>F18/J$2</f>
        <v>1663.9121544020841</v>
      </c>
      <c r="H18" s="48">
        <f t="shared" si="1"/>
        <v>1863.5816129303344</v>
      </c>
      <c r="I18" s="50" t="s">
        <v>3</v>
      </c>
      <c r="K18" s="38"/>
      <c r="L18" s="14">
        <v>1980000</v>
      </c>
      <c r="M18" s="4">
        <v>3</v>
      </c>
      <c r="N18" s="25">
        <v>1980000</v>
      </c>
      <c r="O18" s="14">
        <f t="shared" si="4"/>
        <v>554.63738480069469</v>
      </c>
      <c r="P18" s="14">
        <f t="shared" si="5"/>
        <v>621.19387097677816</v>
      </c>
      <c r="Q18" s="66" t="s">
        <v>3</v>
      </c>
    </row>
    <row r="19" spans="1:17" x14ac:dyDescent="0.25">
      <c r="A19" s="37"/>
      <c r="B19" s="47" t="s">
        <v>15</v>
      </c>
      <c r="C19" s="48">
        <v>525000</v>
      </c>
      <c r="D19" s="84">
        <v>1890000</v>
      </c>
      <c r="E19" s="49">
        <v>3</v>
      </c>
      <c r="F19" s="48">
        <f>D19*E19</f>
        <v>5670000</v>
      </c>
      <c r="G19" s="48">
        <f>F19/J$2</f>
        <v>1588.2797837474438</v>
      </c>
      <c r="H19" s="48">
        <f t="shared" si="1"/>
        <v>1778.8733577971373</v>
      </c>
      <c r="I19" s="50" t="s">
        <v>3</v>
      </c>
      <c r="K19" s="38"/>
      <c r="L19" s="14">
        <v>1890000</v>
      </c>
      <c r="M19" s="4">
        <v>3</v>
      </c>
      <c r="N19" s="25">
        <v>1890000</v>
      </c>
      <c r="O19" s="14">
        <f t="shared" si="4"/>
        <v>529.42659458248124</v>
      </c>
      <c r="P19" s="14">
        <f t="shared" si="5"/>
        <v>592.95778593237901</v>
      </c>
      <c r="Q19" s="66" t="s">
        <v>3</v>
      </c>
    </row>
    <row r="20" spans="1:17" x14ac:dyDescent="0.25">
      <c r="A20" s="37"/>
      <c r="B20" s="22" t="s">
        <v>48</v>
      </c>
      <c r="C20" s="23"/>
      <c r="D20" s="64"/>
      <c r="E20" s="24"/>
      <c r="F20" s="24"/>
      <c r="G20" s="24"/>
      <c r="H20" s="24"/>
      <c r="I20" s="24"/>
      <c r="K20" s="38"/>
      <c r="L20" s="23"/>
      <c r="M20" s="24"/>
      <c r="N20" s="24"/>
      <c r="O20" s="24"/>
      <c r="P20" s="24"/>
      <c r="Q20" s="65"/>
    </row>
    <row r="21" spans="1:17" x14ac:dyDescent="0.25">
      <c r="A21" s="37"/>
      <c r="B21" s="18" t="s">
        <v>47</v>
      </c>
      <c r="C21" s="14"/>
      <c r="D21" s="62">
        <v>9230000</v>
      </c>
      <c r="E21" s="4">
        <v>1</v>
      </c>
      <c r="F21" s="14">
        <f>+D21*E21</f>
        <v>9230000</v>
      </c>
      <c r="G21" s="14">
        <f>F21/J$2</f>
        <v>2585.5065968234403</v>
      </c>
      <c r="H21" s="14">
        <f t="shared" si="1"/>
        <v>2895.7673884422534</v>
      </c>
      <c r="I21" s="32" t="s">
        <v>21</v>
      </c>
      <c r="K21" s="38"/>
      <c r="L21" s="14">
        <v>9230000</v>
      </c>
      <c r="M21" s="4">
        <v>1</v>
      </c>
      <c r="N21" s="14">
        <f>+L21*M21</f>
        <v>9230000</v>
      </c>
      <c r="O21" s="14">
        <f t="shared" ref="O21:O22" si="6">N21/J$2</f>
        <v>2585.5065968234403</v>
      </c>
      <c r="P21" s="14">
        <f t="shared" ref="P21:P22" si="7">O21*J$3</f>
        <v>2895.7673884422534</v>
      </c>
      <c r="Q21" s="67" t="s">
        <v>21</v>
      </c>
    </row>
    <row r="22" spans="1:17" x14ac:dyDescent="0.25">
      <c r="A22" s="37"/>
      <c r="B22" s="18" t="s">
        <v>16</v>
      </c>
      <c r="C22" s="14">
        <v>5000000</v>
      </c>
      <c r="D22" s="62">
        <v>12400000</v>
      </c>
      <c r="E22" s="4">
        <v>1</v>
      </c>
      <c r="F22" s="14">
        <f>D22*E22</f>
        <v>12400000</v>
      </c>
      <c r="G22" s="14">
        <f>F22/J$2</f>
        <v>3473.4866522871789</v>
      </c>
      <c r="H22" s="14">
        <f t="shared" si="1"/>
        <v>3890.3050505616407</v>
      </c>
      <c r="I22" s="5" t="s">
        <v>46</v>
      </c>
      <c r="K22" s="38"/>
      <c r="L22" s="14">
        <v>12400000</v>
      </c>
      <c r="M22" s="4">
        <v>1</v>
      </c>
      <c r="N22" s="14">
        <v>12400000</v>
      </c>
      <c r="O22" s="14">
        <f t="shared" si="6"/>
        <v>3473.4866522871789</v>
      </c>
      <c r="P22" s="14">
        <f t="shared" si="7"/>
        <v>3890.3050505616407</v>
      </c>
      <c r="Q22" s="63" t="s">
        <v>46</v>
      </c>
    </row>
    <row r="23" spans="1:17" x14ac:dyDescent="0.25">
      <c r="A23" s="37"/>
      <c r="B23" s="18" t="s">
        <v>45</v>
      </c>
      <c r="C23" s="14">
        <v>9746632</v>
      </c>
      <c r="D23" s="62">
        <v>9746632</v>
      </c>
      <c r="E23" s="4">
        <v>1</v>
      </c>
      <c r="F23" s="14">
        <f>D23*E23</f>
        <v>9746632</v>
      </c>
      <c r="G23" s="14">
        <f>F23/J$2</f>
        <v>2730.2254965125071</v>
      </c>
      <c r="H23" s="14">
        <f t="shared" si="1"/>
        <v>3057.8525560940084</v>
      </c>
      <c r="I23" s="5" t="s">
        <v>7</v>
      </c>
      <c r="K23" s="38"/>
      <c r="L23" s="14"/>
      <c r="M23" s="4"/>
      <c r="N23" s="25"/>
      <c r="O23" s="14"/>
      <c r="P23" s="14"/>
      <c r="Q23" s="66"/>
    </row>
    <row r="24" spans="1:17" x14ac:dyDescent="0.25">
      <c r="A24" s="37"/>
      <c r="B24" s="18"/>
      <c r="C24" s="14"/>
      <c r="D24" s="62"/>
      <c r="E24" s="4"/>
      <c r="F24" s="14"/>
      <c r="G24" s="14"/>
      <c r="H24" s="14"/>
      <c r="I24" s="5"/>
      <c r="K24" s="38"/>
      <c r="L24" s="14"/>
      <c r="M24" s="4"/>
      <c r="N24" s="25"/>
      <c r="O24" s="14"/>
      <c r="P24" s="14"/>
      <c r="Q24" s="66"/>
    </row>
    <row r="25" spans="1:17" x14ac:dyDescent="0.25">
      <c r="A25" s="37"/>
      <c r="B25" s="18"/>
      <c r="C25" s="14"/>
      <c r="D25" s="62"/>
      <c r="E25" s="4"/>
      <c r="F25" s="14"/>
      <c r="G25" s="14"/>
      <c r="H25" s="14"/>
      <c r="I25" s="5"/>
      <c r="K25" s="38"/>
      <c r="L25" s="14"/>
      <c r="M25" s="4"/>
      <c r="N25" s="25"/>
      <c r="O25" s="14"/>
      <c r="P25" s="14"/>
      <c r="Q25" s="66"/>
    </row>
    <row r="26" spans="1:17" x14ac:dyDescent="0.25">
      <c r="A26" s="37"/>
      <c r="B26" s="26" t="s">
        <v>33</v>
      </c>
      <c r="C26" s="27"/>
      <c r="D26" s="68"/>
      <c r="E26" s="28"/>
      <c r="F26" s="27"/>
      <c r="G26" s="27"/>
      <c r="H26" s="27"/>
      <c r="I26" s="28"/>
      <c r="K26" s="38"/>
      <c r="L26" s="27"/>
      <c r="M26" s="28"/>
      <c r="N26" s="27"/>
      <c r="O26" s="27"/>
      <c r="P26" s="27"/>
      <c r="Q26" s="69"/>
    </row>
    <row r="27" spans="1:17" x14ac:dyDescent="0.25">
      <c r="A27" s="37"/>
      <c r="B27" s="29" t="s">
        <v>56</v>
      </c>
      <c r="C27" s="30">
        <v>1500000</v>
      </c>
      <c r="D27" s="70">
        <v>1500000</v>
      </c>
      <c r="E27" s="31">
        <v>3</v>
      </c>
      <c r="F27" s="30">
        <f>C27*E27</f>
        <v>4500000</v>
      </c>
      <c r="G27" s="30">
        <f>F27/J$2</f>
        <v>1260.5395109106698</v>
      </c>
      <c r="H27" s="30">
        <f t="shared" si="1"/>
        <v>1411.8042522199503</v>
      </c>
      <c r="I27" s="32" t="s">
        <v>18</v>
      </c>
      <c r="K27" s="38"/>
      <c r="L27" s="30">
        <v>1500000</v>
      </c>
      <c r="M27" s="31">
        <v>3</v>
      </c>
      <c r="N27" s="40">
        <v>4500000</v>
      </c>
      <c r="O27" s="30">
        <f t="shared" si="4"/>
        <v>1260.5395109106698</v>
      </c>
      <c r="P27" s="30">
        <f t="shared" si="5"/>
        <v>1411.8042522199503</v>
      </c>
      <c r="Q27" s="71" t="s">
        <v>18</v>
      </c>
    </row>
    <row r="28" spans="1:17" x14ac:dyDescent="0.25">
      <c r="A28" s="37"/>
      <c r="B28" s="29" t="s">
        <v>17</v>
      </c>
      <c r="C28" s="30">
        <v>1400000</v>
      </c>
      <c r="D28" s="70">
        <v>1400000</v>
      </c>
      <c r="E28" s="31">
        <v>3</v>
      </c>
      <c r="F28" s="30">
        <f>C28*E28</f>
        <v>4200000</v>
      </c>
      <c r="G28" s="30">
        <f>F28/J$2</f>
        <v>1176.5035435166251</v>
      </c>
      <c r="H28" s="30">
        <f t="shared" si="1"/>
        <v>1317.6839687386203</v>
      </c>
      <c r="I28" s="32" t="s">
        <v>18</v>
      </c>
      <c r="K28" s="38"/>
      <c r="L28" s="30">
        <v>1400000</v>
      </c>
      <c r="M28" s="31">
        <v>3</v>
      </c>
      <c r="N28" s="40">
        <v>4200000</v>
      </c>
      <c r="O28" s="30">
        <f t="shared" si="4"/>
        <v>1176.5035435166251</v>
      </c>
      <c r="P28" s="30">
        <f t="shared" si="5"/>
        <v>1317.6839687386203</v>
      </c>
      <c r="Q28" s="71" t="s">
        <v>18</v>
      </c>
    </row>
    <row r="29" spans="1:17" x14ac:dyDescent="0.25">
      <c r="A29" s="37"/>
      <c r="B29" s="29" t="s">
        <v>57</v>
      </c>
      <c r="C29" s="30"/>
      <c r="D29" s="70">
        <v>2000000</v>
      </c>
      <c r="E29" s="31">
        <v>3</v>
      </c>
      <c r="F29" s="30"/>
      <c r="G29" s="30"/>
      <c r="H29" s="30"/>
      <c r="I29" s="32"/>
      <c r="K29" s="38"/>
      <c r="L29" s="30"/>
      <c r="M29" s="31"/>
      <c r="N29" s="40"/>
      <c r="O29" s="30"/>
      <c r="P29" s="30"/>
      <c r="Q29" s="71"/>
    </row>
    <row r="30" spans="1:17" x14ac:dyDescent="0.25">
      <c r="A30" s="37"/>
      <c r="B30" s="29" t="s">
        <v>19</v>
      </c>
      <c r="C30" s="30">
        <v>1000000</v>
      </c>
      <c r="D30" s="70">
        <v>1000000</v>
      </c>
      <c r="E30" s="31">
        <v>3</v>
      </c>
      <c r="F30" s="30">
        <f>C30*E30</f>
        <v>3000000</v>
      </c>
      <c r="G30" s="30">
        <f>F30/J$2</f>
        <v>840.35967394044644</v>
      </c>
      <c r="H30" s="30">
        <f t="shared" si="1"/>
        <v>941.20283481330011</v>
      </c>
      <c r="I30" s="32" t="s">
        <v>18</v>
      </c>
      <c r="K30" s="38"/>
      <c r="L30" s="30">
        <v>1000000</v>
      </c>
      <c r="M30" s="31">
        <v>3</v>
      </c>
      <c r="N30" s="40">
        <v>3000000</v>
      </c>
      <c r="O30" s="30">
        <f t="shared" si="4"/>
        <v>840.35967394044644</v>
      </c>
      <c r="P30" s="30">
        <f t="shared" si="5"/>
        <v>941.20283481330011</v>
      </c>
      <c r="Q30" s="71" t="s">
        <v>18</v>
      </c>
    </row>
    <row r="31" spans="1:17" x14ac:dyDescent="0.25">
      <c r="A31" s="37"/>
      <c r="B31" s="33" t="s">
        <v>35</v>
      </c>
      <c r="C31" s="34"/>
      <c r="D31" s="72"/>
      <c r="E31" s="35"/>
      <c r="F31" s="34"/>
      <c r="G31" s="34"/>
      <c r="H31" s="34"/>
      <c r="I31" s="36"/>
      <c r="K31" s="38"/>
      <c r="L31" s="34"/>
      <c r="M31" s="35"/>
      <c r="N31" s="41"/>
      <c r="O31" s="34"/>
      <c r="P31" s="34"/>
      <c r="Q31" s="73"/>
    </row>
    <row r="32" spans="1:17" x14ac:dyDescent="0.25">
      <c r="A32" s="37"/>
      <c r="B32" s="29" t="s">
        <v>20</v>
      </c>
      <c r="C32" s="30">
        <v>2500000</v>
      </c>
      <c r="D32" s="70">
        <v>2500000</v>
      </c>
      <c r="E32" s="31">
        <v>1</v>
      </c>
      <c r="F32" s="30">
        <f>C32*E32</f>
        <v>2500000</v>
      </c>
      <c r="G32" s="30">
        <f>F32/J$2</f>
        <v>700.29972828370546</v>
      </c>
      <c r="H32" s="30">
        <f t="shared" si="1"/>
        <v>784.33569567775021</v>
      </c>
      <c r="I32" s="32" t="s">
        <v>21</v>
      </c>
      <c r="K32" s="38"/>
      <c r="L32" s="30"/>
      <c r="M32" s="31"/>
      <c r="N32" s="40"/>
      <c r="O32" s="30"/>
      <c r="P32" s="30"/>
      <c r="Q32" s="71"/>
    </row>
    <row r="33" spans="1:17" x14ac:dyDescent="0.25">
      <c r="A33" s="37"/>
      <c r="B33" s="29" t="s">
        <v>22</v>
      </c>
      <c r="C33" s="30">
        <v>1800000</v>
      </c>
      <c r="D33" s="70">
        <v>1800000</v>
      </c>
      <c r="E33" s="31">
        <v>1</v>
      </c>
      <c r="F33" s="30">
        <f>C33*E33</f>
        <v>1800000</v>
      </c>
      <c r="G33" s="30">
        <f>F33/J$2</f>
        <v>504.21580436426791</v>
      </c>
      <c r="H33" s="30">
        <f t="shared" si="1"/>
        <v>564.72170088798009</v>
      </c>
      <c r="I33" s="32" t="s">
        <v>21</v>
      </c>
      <c r="K33" s="38"/>
      <c r="L33" s="30"/>
      <c r="M33" s="31"/>
      <c r="N33" s="40"/>
      <c r="O33" s="30"/>
      <c r="P33" s="30"/>
      <c r="Q33" s="71"/>
    </row>
    <row r="34" spans="1:17" x14ac:dyDescent="0.25">
      <c r="A34" s="37"/>
      <c r="B34" s="29" t="s">
        <v>23</v>
      </c>
      <c r="C34" s="30">
        <v>550000</v>
      </c>
      <c r="D34" s="70">
        <v>550000</v>
      </c>
      <c r="E34" s="31">
        <v>1</v>
      </c>
      <c r="F34" s="30">
        <f>C34*E34</f>
        <v>550000</v>
      </c>
      <c r="G34" s="30">
        <f>F34/J$2</f>
        <v>154.06594022241518</v>
      </c>
      <c r="H34" s="30">
        <f t="shared" si="1"/>
        <v>172.55385304910502</v>
      </c>
      <c r="I34" s="32" t="s">
        <v>21</v>
      </c>
      <c r="K34" s="38"/>
      <c r="L34" s="40"/>
      <c r="M34" s="31"/>
      <c r="N34" s="40"/>
      <c r="O34" s="30"/>
      <c r="P34" s="30"/>
      <c r="Q34" s="71"/>
    </row>
    <row r="35" spans="1:17" x14ac:dyDescent="0.25">
      <c r="A35" s="37"/>
      <c r="B35" s="29" t="s">
        <v>24</v>
      </c>
      <c r="C35" s="30">
        <v>450000</v>
      </c>
      <c r="D35" s="70">
        <v>450000</v>
      </c>
      <c r="E35" s="31">
        <v>1</v>
      </c>
      <c r="F35" s="30">
        <f>C35*E35</f>
        <v>450000</v>
      </c>
      <c r="G35" s="30">
        <f>F35/J$2</f>
        <v>126.05395109106698</v>
      </c>
      <c r="H35" s="30">
        <f t="shared" si="1"/>
        <v>141.18042522199502</v>
      </c>
      <c r="I35" s="32" t="s">
        <v>21</v>
      </c>
      <c r="K35" s="38"/>
      <c r="L35" s="30"/>
      <c r="M35" s="31"/>
      <c r="N35" s="40"/>
      <c r="O35" s="30"/>
      <c r="P35" s="30"/>
      <c r="Q35" s="71"/>
    </row>
    <row r="36" spans="1:17" x14ac:dyDescent="0.25">
      <c r="A36" s="37"/>
      <c r="B36" s="29" t="s">
        <v>25</v>
      </c>
      <c r="C36" s="30">
        <f>24900+59900+72000</f>
        <v>156800</v>
      </c>
      <c r="D36" s="70">
        <f>24900+59900+72000</f>
        <v>156800</v>
      </c>
      <c r="E36" s="31">
        <v>3</v>
      </c>
      <c r="F36" s="30">
        <f>C36*E36</f>
        <v>470400</v>
      </c>
      <c r="G36" s="30">
        <f>F36/J$2</f>
        <v>131.768396873862</v>
      </c>
      <c r="H36" s="30">
        <f t="shared" si="1"/>
        <v>147.58060449872545</v>
      </c>
      <c r="I36" s="32" t="s">
        <v>26</v>
      </c>
      <c r="K36" s="38"/>
      <c r="L36" s="30">
        <v>156800</v>
      </c>
      <c r="M36" s="31">
        <v>3</v>
      </c>
      <c r="N36" s="40">
        <v>470400</v>
      </c>
      <c r="O36" s="30">
        <f t="shared" si="4"/>
        <v>131.768396873862</v>
      </c>
      <c r="P36" s="30">
        <f t="shared" si="5"/>
        <v>147.58060449872545</v>
      </c>
      <c r="Q36" s="71" t="s">
        <v>26</v>
      </c>
    </row>
    <row r="37" spans="1:17" ht="51" x14ac:dyDescent="0.25">
      <c r="A37" s="37"/>
      <c r="B37" s="44" t="s">
        <v>54</v>
      </c>
      <c r="C37" s="46"/>
      <c r="D37" s="74"/>
      <c r="E37" s="15" t="s">
        <v>40</v>
      </c>
      <c r="F37" s="20">
        <f>SUM(F3:F36)</f>
        <v>254309532</v>
      </c>
      <c r="G37" s="14"/>
      <c r="H37" s="15">
        <f>SUM(H3:H36)</f>
        <v>79785.617479481225</v>
      </c>
      <c r="I37" s="5"/>
      <c r="K37" s="38"/>
      <c r="L37" s="15" t="s">
        <v>42</v>
      </c>
      <c r="M37" s="4"/>
      <c r="N37" s="20">
        <f t="shared" ref="N37:O37" si="8">SUM(N3:N36)</f>
        <v>206694150</v>
      </c>
      <c r="O37" s="20">
        <f t="shared" si="8"/>
        <v>57899.142833132581</v>
      </c>
      <c r="P37" s="20">
        <f>SUM(P3:P36)</f>
        <v>64847.039973108491</v>
      </c>
      <c r="Q37" s="75"/>
    </row>
    <row r="38" spans="1:17" s="11" customFormat="1" ht="21.75" thickBot="1" x14ac:dyDescent="0.4">
      <c r="A38" s="42"/>
      <c r="B38" s="42"/>
      <c r="C38" s="42"/>
      <c r="D38" s="76" t="s">
        <v>43</v>
      </c>
      <c r="E38" s="77"/>
      <c r="F38" s="78" t="s">
        <v>44</v>
      </c>
      <c r="G38" s="78"/>
      <c r="H38" s="79">
        <f>H37+P37</f>
        <v>144632.65745258972</v>
      </c>
      <c r="I38" s="78"/>
      <c r="J38" s="78"/>
      <c r="K38" s="78"/>
      <c r="L38" s="78"/>
      <c r="M38" s="78"/>
      <c r="N38" s="78"/>
      <c r="O38" s="78"/>
      <c r="P38" s="78"/>
      <c r="Q38" s="80"/>
    </row>
    <row r="39" spans="1:17" x14ac:dyDescent="0.25">
      <c r="B39" s="7"/>
      <c r="C39" s="8"/>
      <c r="D39" s="8"/>
      <c r="E39" s="9"/>
      <c r="F39" s="10"/>
      <c r="I39" s="9"/>
    </row>
  </sheetData>
  <mergeCells count="3">
    <mergeCell ref="A2:A37"/>
    <mergeCell ref="K2:K37"/>
    <mergeCell ref="D38:E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Miguel La M</vt:lpstr>
      <vt:lpstr>Jhon Jimenez</vt:lpstr>
      <vt:lpstr>Artistas Okan</vt:lpstr>
      <vt:lpstr>X3</vt:lpstr>
      <vt:lpstr>'Miguel La M'!Área_de_impresión</vt:lpstr>
      <vt:lpstr>'X3'!Área_de_impresión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2026-10-16T04:26:26Z</cp:lastPrinted>
  <dcterms:created xsi:type="dcterms:W3CDTF">2026-10-16T01:09:33Z</dcterms:created>
  <dcterms:modified xsi:type="dcterms:W3CDTF">2026-10-18T13:52:58Z</dcterms:modified>
</cp:coreProperties>
</file>